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emf" ContentType="image/x-emf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105" yWindow="-108" windowWidth="34607" windowHeight="13889" activeTab="4" firstSheet="4" tabRatio="600"/>
  </bookViews>
  <sheets>
    <sheet name="Dashboard" sheetId="2" r:id="rId2"/>
    <sheet name="Strengths" sheetId="1" r:id="rId3"/>
    <sheet name="Weaknesses" sheetId="7" r:id="rId4"/>
    <sheet name="Opportunities" sheetId="8" r:id="rId5"/>
    <sheet name="Threats" sheetId="9" r:id="rId6"/>
  </sheets>
  <definedNames>
    <definedName name="_xlnm.Print_Area" localSheetId="1">'Strengths'!$B$2:$R$22</definedName>
    <definedName name="_xlnm.Print_Area" localSheetId="0">'Dashboard'!$B$2:$O$37</definedName>
    <definedName name="_xlnm.Print_Area" localSheetId="4">'Threats'!$B$2:$R$22</definedName>
    <definedName name="_xlnm.Print_Area" localSheetId="3">'Opportunities'!$B$2:$R$22</definedName>
    <definedName name="_xlnm.Print_Area" localSheetId="2">'Weaknesses'!$B$2:$R$22</definedName>
    <definedName name="Weaknesses">OFFSET('Weaknesses'!$I$6,0,0,'Weaknesses'!$I$5,1)</definedName>
    <definedName name="Strengths">OFFSET('Strengths'!$I$6,0,0,'Strengths'!$I$5,1)</definedName>
    <definedName name="Threats">OFFSET('Threats'!$I$6,0,0,'Threats'!$I$5,1)</definedName>
    <definedName name="Threats3">OFFSET('Threats'!$K$6,0,0,'Threats'!$K$5,1)</definedName>
    <definedName name="Threats2">OFFSET('Threats'!$J$6,0,0,'Threats'!$J$5,1)</definedName>
    <definedName name="Opportunities">OFFSET('Opportunities'!$I$6,0,0,'Opportunities'!$I$5,1)</definedName>
    <definedName name="Weaknesses3">OFFSET('Weaknesses'!$K$6,0,0,'Weaknesses'!$K$5,1)</definedName>
    <definedName name="Weaknesses2">OFFSET('Weaknesses'!$J$6,0,0,'Weaknesses'!$J$5,1)</definedName>
    <definedName name="Strengths3">OFFSET('Strengths'!$K$6,0,0,'Strengths'!$K$5,1)</definedName>
    <definedName name="Strengths2">OFFSET('Strengths'!$J$6,0,0,'Strengths'!$J$5,1)</definedName>
    <definedName name="Opportunities3">OFFSET('Opportunities'!$K$6,0,0,'Opportunities'!$K$5,1)</definedName>
    <definedName name="Opportunities2">OFFSET('Opportunities'!$J$6,0,0,'Opportunities'!$J$5,1)</definedName>
  </definedNames>
</workbook>
</file>

<file path=xl/sharedStrings.xml><?xml version="1.0" encoding="utf-8"?>
<sst xmlns="http://schemas.openxmlformats.org/spreadsheetml/2006/main" count="129" uniqueCount="62">
  <si>
    <t>SWOT ANALYSIS</t>
  </si>
  <si>
    <t>Group</t>
  </si>
  <si>
    <t>Gracie Amaya</t>
  </si>
  <si>
    <t xml:space="preserve">Emily Schuman </t>
  </si>
  <si>
    <t>Daniel Furr</t>
  </si>
  <si>
    <t>Matthew Simmons</t>
  </si>
  <si>
    <t>Sofia Chi</t>
  </si>
  <si>
    <t>Craig Morrow</t>
  </si>
  <si>
    <t>Samantha Wilson</t>
  </si>
  <si>
    <t>Zikander Perez Sanchez</t>
  </si>
  <si>
    <t>Manaiyah Raybon</t>
  </si>
  <si>
    <t>Esmeralda Godinez Zacarias</t>
  </si>
  <si>
    <t>Mayada Ibrahim</t>
  </si>
  <si>
    <t>Laisa Mena Rivera</t>
  </si>
  <si>
    <t>© 2013 - Exceltemplate.net</t>
  </si>
  <si>
    <t>STRENGTHS ANALYSIS</t>
  </si>
  <si>
    <t>No</t>
  </si>
  <si>
    <t>Strengths Item</t>
  </si>
  <si>
    <t>Notes :</t>
  </si>
  <si>
    <t>Design 1</t>
  </si>
  <si>
    <t>Design 2</t>
  </si>
  <si>
    <t>Design 3</t>
  </si>
  <si>
    <t>Strengths</t>
  </si>
  <si>
    <t>Division 1</t>
  </si>
  <si>
    <t>Community Support (Do you think community will like this design)</t>
  </si>
  <si>
    <t>Division 2</t>
  </si>
  <si>
    <t>Infrastructure Availability (layout)</t>
  </si>
  <si>
    <t>Division 3</t>
  </si>
  <si>
    <t>Sustainable design</t>
  </si>
  <si>
    <t>Design efficieny (Site Use)</t>
  </si>
  <si>
    <t>Points</t>
  </si>
  <si>
    <t>Design Readiness</t>
  </si>
  <si>
    <t>Worst</t>
  </si>
  <si>
    <t xml:space="preserve">Stormwater </t>
  </si>
  <si>
    <t>Decent</t>
  </si>
  <si>
    <t>Neutral</t>
  </si>
  <si>
    <t>Good</t>
  </si>
  <si>
    <t>Best</t>
  </si>
  <si>
    <t>WEAKNESSES ANALYSIS</t>
  </si>
  <si>
    <t>Weaknesses Item</t>
  </si>
  <si>
    <t>Weaknesses</t>
  </si>
  <si>
    <t>Financial Support (cost)</t>
  </si>
  <si>
    <t>Infrastructure Modification (result in many site changes)</t>
  </si>
  <si>
    <t>Earthwork (require more earthwork)</t>
  </si>
  <si>
    <t>Post Services (maintenance)</t>
  </si>
  <si>
    <t>access problem</t>
  </si>
  <si>
    <t>OPPORTUNITIES ANALYSIS</t>
  </si>
  <si>
    <t>Opportunities Item</t>
  </si>
  <si>
    <t>Opportunities</t>
  </si>
  <si>
    <t xml:space="preserve">Environmental Sustainability </t>
  </si>
  <si>
    <t>Good Profit (help to local community)</t>
  </si>
  <si>
    <t>Economic growth</t>
  </si>
  <si>
    <t>Urban innovation</t>
  </si>
  <si>
    <t>Exclusive contracts</t>
  </si>
  <si>
    <t>THREATS ANALYSIS</t>
  </si>
  <si>
    <t>Threats Item</t>
  </si>
  <si>
    <t>Threats</t>
  </si>
  <si>
    <t>Political Effect (local community will not like the design)</t>
  </si>
  <si>
    <t>Alternate Design (may face competition)</t>
  </si>
  <si>
    <t>Market Demand</t>
  </si>
  <si>
    <t>Economic Situation (too expensive to build)</t>
  </si>
  <si>
    <t>local ecology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</si>
</sst>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6" x14ac:knownFonts="26">
    <font>
      <sz val="11.0"/>
      <name val="Calibri"/>
      <family val="1"/>
    </font>
    <font>
      <sz val="11.0"/>
      <name val="Calibri"/>
      <family val="1"/>
    </font>
    <font>
      <sz val="11.0"/>
      <color rgb="FFFFFFFF"/>
      <name val="Calibri"/>
      <family val="1"/>
    </font>
    <font>
      <sz val="11.0"/>
      <name val="Calibri"/>
      <family val="1"/>
      <b/>
      <u val="single"/>
    </font>
    <font>
      <sz val="14.0"/>
      <name val="Calibri"/>
      <family val="1"/>
      <b/>
    </font>
    <font>
      <sz val="16.0"/>
      <name val="Calibri"/>
      <family val="1"/>
      <b/>
    </font>
    <font>
      <sz val="11.0"/>
      <color rgb="FFFF0000"/>
      <name val="Calibri"/>
      <family val="1"/>
    </font>
    <font>
      <sz val="11.0"/>
      <name val="Calibri"/>
      <family val="1"/>
      <b/>
    </font>
    <font>
      <sz val="9.0"/>
      <color rgb="FF9C0006"/>
      <name val="Droid Sans"/>
      <charset val="134"/>
    </font>
    <font>
      <sz val="9.0"/>
      <color rgb="FF006100"/>
      <name val="Droid Sans"/>
      <charset val="134"/>
    </font>
    <font>
      <sz val="9.0"/>
      <color rgb="FF9C6500"/>
      <name val="Droid Sans"/>
      <charset val="134"/>
    </font>
    <font>
      <sz val="9.0"/>
      <color rgb="FFFA7D00"/>
      <name val="Droid Sans"/>
      <charset val="134"/>
      <b/>
    </font>
    <font>
      <sz val="9.0"/>
      <color rgb="FFFFFFFF"/>
      <name val="Droid Sans"/>
      <charset val="134"/>
      <b/>
    </font>
    <font>
      <sz val="9.0"/>
      <color rgb="FF7F7F7F"/>
      <name val="Droid Sans"/>
      <charset val="134"/>
      <i/>
    </font>
    <font>
      <sz val="9.0"/>
      <color rgb="FFFF0000"/>
      <name val="Droid Sans"/>
      <charset val="134"/>
    </font>
    <font>
      <sz val="9.0"/>
      <color rgb="FFFA7D00"/>
      <name val="Droid Sans"/>
      <charset val="134"/>
    </font>
    <font>
      <sz val="9.0"/>
      <color rgb="FF3F3F3F"/>
      <name val="Droid Sans"/>
      <charset val="134"/>
      <b/>
    </font>
    <font>
      <sz val="9.0"/>
      <color rgb="FF3F3F76"/>
      <name val="Droid Sans"/>
      <charset val="134"/>
    </font>
    <font>
      <sz val="18.0"/>
      <color rgb="FF1F497D"/>
      <name val="Droid Sans"/>
      <charset val="134"/>
    </font>
    <font>
      <sz val="15.0"/>
      <color rgb="FF1F497D"/>
      <name val="Droid Sans"/>
      <charset val="134"/>
      <b/>
    </font>
    <font>
      <sz val="13.0"/>
      <color rgb="FF1F497D"/>
      <name val="Droid Sans"/>
      <charset val="134"/>
      <b/>
    </font>
    <font>
      <sz val="11.0"/>
      <color rgb="FF1F497D"/>
      <name val="Droid Sans"/>
      <charset val="134"/>
      <b/>
    </font>
    <font>
      <sz val="9.0"/>
      <color rgb="FF000000"/>
      <name val="Droid Sans"/>
      <charset val="134"/>
      <b/>
    </font>
    <font>
      <sz val="9.0"/>
      <color rgb="FF000000"/>
      <name val="Droid Sans"/>
      <charset val="134"/>
    </font>
    <font>
      <sz val="9.0"/>
      <color rgb="FFFFFFFF"/>
      <name val="Droid Sans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1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/>
      <bottom style="thick">
        <color rgb="FF17375D"/>
      </bottom>
      <diagonal/>
    </border>
    <border>
      <left/>
      <right/>
      <top/>
      <bottom style="thick">
        <color rgb="FF17375D"/>
      </bottom>
      <diagonal/>
    </border>
    <border>
      <left/>
      <right/>
      <top/>
      <bottom style="medium">
        <color rgb="FF17375D"/>
      </bottom>
      <diagonal/>
    </border>
    <border>
      <left/>
      <right/>
      <top/>
      <bottom style="medium">
        <color rgb="FF17375D"/>
      </bottom>
      <diagonal/>
    </border>
    <border>
      <left/>
      <right/>
      <top/>
      <bottom style="medium">
        <color rgb="FF17375D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7">
    <xf numFmtId="0" fontId="0" fillId="0" borderId="0" applyAlignment="1" xfId="0"/>
    <xf numFmtId="0" fontId="1" applyFont="1" fillId="0" borderId="0" applyAlignment="1" xfId="0"/>
    <xf numFmtId="0" fontId="1" applyFont="1" fillId="0" borderId="0" applyAlignment="1" xfId="0">
      <alignment horizontal="center" vertical="center"/>
    </xf>
    <xf numFmtId="0" fontId="1" applyFont="1" fillId="0" borderId="0" applyAlignment="1" xfId="0">
      <alignment horizontal="left" vertic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 vertical="center"/>
    </xf>
    <xf numFmtId="0" fontId="1" applyFont="1" fillId="0" borderId="1" applyBorder="1" applyAlignment="1" xfId="0">
      <alignment horizontal="center" vertical="center"/>
    </xf>
    <xf numFmtId="0" fontId="1" applyFont="1" fillId="0" borderId="2" applyBorder="1" applyAlignment="1" xfId="0">
      <alignment horizontal="left" vertical="center"/>
    </xf>
    <xf numFmtId="0" fontId="1" applyFont="1" fillId="0" borderId="3" applyBorder="1" applyAlignment="1" xfId="0">
      <alignment horizontal="left" vertical="center"/>
    </xf>
    <xf numFmtId="0" fontId="1" applyFont="1" fillId="0" borderId="4" applyBorder="1" applyAlignment="1" xfId="0">
      <alignment horizontal="center" vertical="center"/>
    </xf>
    <xf numFmtId="0" fontId="1" applyFont="1" fillId="0" borderId="5" applyBorder="1" applyAlignment="1" xfId="0">
      <alignment horizontal="center" vertical="center"/>
    </xf>
    <xf numFmtId="0" fontId="4" applyFont="1" fillId="0" borderId="6" applyBorder="1" applyAlignment="1" xfId="0">
      <alignment horizontal="left" vertical="center"/>
    </xf>
    <xf numFmtId="0" fontId="5" applyFont="1" fillId="0" borderId="7" applyBorder="1" applyAlignment="1" xfId="0">
      <alignment horizontal="left" vertical="center"/>
    </xf>
    <xf numFmtId="0" fontId="1" applyFont="1" fillId="0" borderId="0" applyAlignment="1" xfId="0">
      <alignment horizontal="right" vertical="center"/>
    </xf>
    <xf numFmtId="0" fontId="6" applyFont="1" fillId="0" borderId="8" applyBorder="1" applyAlignment="1" xfId="0">
      <alignment horizontal="left" vertical="center"/>
    </xf>
    <xf numFmtId="0" fontId="7" applyFont="1" fillId="0" borderId="9" applyBorder="1" applyAlignment="1" xfId="0">
      <alignment horizontal="center" vertical="center"/>
    </xf>
    <xf numFmtId="0" fontId="1" applyFont="1" fillId="0" borderId="0" applyAlignment="1" xfId="0"/>
    <xf numFmtId="0" fontId="1" applyFont="1" fillId="0" borderId="0" applyAlignment="1" xfId="0"/>
    <xf numFmtId="0" fontId="7" applyFont="1" fillId="0" borderId="10" applyBorder="1" applyAlignment="1" xfId="0">
      <alignment horizontal="center" vertical="center"/>
    </xf>
    <xf numFmtId="0" fontId="8" applyFont="1" fillId="2" applyFill="1" borderId="0" applyAlignment="1" xfId="0"/>
    <xf numFmtId="0" fontId="9" applyFont="1" fillId="3" applyFill="1" borderId="0" applyAlignment="1" xfId="0"/>
    <xf numFmtId="0" fontId="10" applyFont="1" fillId="4" applyFill="1" borderId="0" applyAlignment="1" xfId="0"/>
    <xf numFmtId="0" fontId="11" applyFont="1" fillId="5" applyFill="1" borderId="11" applyBorder="1" applyAlignment="1" xfId="0"/>
    <xf numFmtId="0" fontId="12" applyFont="1" fillId="6" applyFill="1" borderId="12" applyBorder="1" applyAlignment="1" xfId="0"/>
    <xf numFmtId="0" fontId="13" applyFont="1" fillId="0" borderId="0" applyAlignment="1" xfId="0"/>
    <xf numFmtId="0" fontId="14" applyFont="1" fillId="0" borderId="0" applyAlignment="1" xfId="0"/>
    <xf numFmtId="0" fontId="15" applyFont="1" fillId="0" borderId="13" applyBorder="1" applyAlignment="1" xfId="0"/>
    <xf numFmtId="0" fontId="16" applyFont="1" fillId="5" applyFill="1" borderId="14" applyBorder="1" applyAlignment="1" xfId="0"/>
    <xf numFmtId="0" fontId="17" applyFont="1" fillId="7" applyFill="1" borderId="15" applyBorder="1" applyAlignment="1" xfId="0"/>
    <xf numFmtId="0" fontId="1" applyFont="1" fillId="8" applyFill="1" borderId="16" applyBorder="1" applyAlignment="1" xfId="0"/>
    <xf numFmtId="0" fontId="18" applyFont="1" fillId="0" borderId="0" applyAlignment="1" xfId="0"/>
    <xf numFmtId="0" fontId="19" applyFont="1" fillId="0" borderId="17" applyBorder="1" applyAlignment="1" xfId="0"/>
    <xf numFmtId="0" fontId="20" applyFont="1" fillId="0" borderId="18" applyBorder="1" applyAlignment="1" xfId="0"/>
    <xf numFmtId="0" fontId="21" applyFont="1" fillId="0" borderId="19" applyBorder="1" applyAlignment="1" xfId="0"/>
    <xf numFmtId="0" fontId="21" applyFont="1" fillId="0" borderId="0" applyAlignment="1" xfId="0"/>
    <xf numFmtId="0" fontId="22" applyFont="1" fillId="0" borderId="20" applyBorder="1" applyAlignment="1" xfId="0"/>
    <xf numFmtId="0" fontId="23" applyFont="1" fillId="9" applyFill="1" borderId="0" applyAlignment="1" xfId="0"/>
    <xf numFmtId="0" fontId="23" applyFont="1" fillId="10" applyFill="1" borderId="0" applyAlignment="1" xfId="0"/>
    <xf numFmtId="0" fontId="23" applyFont="1" fillId="11" applyFill="1" borderId="0" applyAlignment="1" xfId="0"/>
    <xf numFmtId="0" fontId="23" applyFont="1" fillId="12" applyFill="1" borderId="0" applyAlignment="1" xfId="0"/>
    <xf numFmtId="0" fontId="23" applyFont="1" fillId="13" applyFill="1" borderId="0" applyAlignment="1" xfId="0"/>
    <xf numFmtId="0" fontId="23" applyFont="1" fillId="14" applyFill="1" borderId="0" applyAlignment="1" xfId="0"/>
    <xf numFmtId="0" fontId="23" applyFont="1" fillId="15" applyFill="1" borderId="0" applyAlignment="1" xfId="0"/>
    <xf numFmtId="0" fontId="23" applyFont="1" fillId="16" applyFill="1" borderId="0" applyAlignment="1" xfId="0"/>
    <xf numFmtId="0" fontId="23" applyFont="1" fillId="17" applyFill="1" borderId="0" applyAlignment="1" xfId="0"/>
    <xf numFmtId="0" fontId="23" applyFont="1" fillId="18" applyFill="1" borderId="0" applyAlignment="1" xfId="0"/>
    <xf numFmtId="0" fontId="23" applyFont="1" fillId="19" applyFill="1" borderId="0" applyAlignment="1" xfId="0"/>
    <xf numFmtId="0" fontId="23" applyFont="1" fillId="20" applyFill="1" borderId="0" applyAlignment="1" xfId="0"/>
    <xf numFmtId="0" fontId="24" applyFont="1" fillId="21" applyFill="1" borderId="0" applyAlignment="1" xfId="0"/>
    <xf numFmtId="0" fontId="24" applyFont="1" fillId="22" applyFill="1" borderId="0" applyAlignment="1" xfId="0"/>
    <xf numFmtId="0" fontId="24" applyFont="1" fillId="23" applyFill="1" borderId="0" applyAlignment="1" xfId="0"/>
    <xf numFmtId="0" fontId="24" applyFont="1" fillId="24" applyFill="1" borderId="0" applyAlignment="1" xfId="0"/>
    <xf numFmtId="0" fontId="24" applyFont="1" fillId="25" applyFill="1" borderId="0" applyAlignment="1" xfId="0"/>
    <xf numFmtId="0" fontId="24" applyFont="1" fillId="26" applyFill="1" borderId="0" applyAlignment="1" xfId="0"/>
    <xf numFmtId="0" fontId="24" applyFont="1" fillId="27" applyFill="1" borderId="0" applyAlignment="1" xfId="0"/>
    <xf numFmtId="0" fontId="24" applyFont="1" fillId="28" applyFill="1" borderId="0" applyAlignment="1" xfId="0"/>
    <xf numFmtId="0" fontId="24" applyFont="1" fillId="29" applyFill="1" borderId="0" applyAlignment="1" xfId="0"/>
    <xf numFmtId="0" fontId="24" applyFont="1" fillId="30" applyFill="1" borderId="0" applyAlignment="1" xfId="0"/>
    <xf numFmtId="0" fontId="24" applyFont="1" fillId="31" applyFill="1" borderId="0" applyAlignment="1" xfId="0"/>
    <xf numFmtId="0" fontId="24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9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r>
              <a:rPr lang="zh-CN"/>
              <a:t>Strengths</a:t>
            </a:r>
          </a:p>
        </c:rich>
      </c:tx>
      <c:layout>
        <c:manualLayout>
          <c:xMode val="edge"/>
          <c:yMode val="edge"/>
          <c:x val="0.022909012"/>
          <c:y val="0.027777778"/>
        </c:manualLayout>
      </c:layout>
      <c:overlay val="1"/>
      <c:spPr>
        <a:ln>
          <a:noFill/>
        </a:ln>
      </c:spPr>
    </c:title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Strengths!$H$5</c:f>
              <c:strCache>
                <c:ptCount val="1"/>
                <c:pt idx="0">
                  <c:v>Strengths</c:v>
                </c:pt>
              </c:strCache>
            </c:strRef>
          </c:tx>
          <c:spPr>
            <a:solidFill>
              <a:srgbClr val="4F81BD"/>
            </a:solidFill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4F81BD"/>
              </a:solidFill>
              <a:ln>
                <a:solidFill>
                  <a:srgbClr val="4F81B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'Strengths'!$H$6:$H$20</c:f>
              <c:strCache>
                <c:ptCount val="15"/>
                <c:pt idx="0">
                  <c:v>Community Support (Do you think community will like this design)</c:v>
                </c:pt>
                <c:pt idx="1">
                  <c:v>Infrastructure Availability (layout)</c:v>
                </c:pt>
                <c:pt idx="2">
                  <c:v>Sustainable design</c:v>
                </c:pt>
                <c:pt idx="3">
                  <c:v>Design efficieny (Site Use)</c:v>
                </c:pt>
                <c:pt idx="4">
                  <c:v>Design Readiness</c:v>
                </c:pt>
                <c:pt idx="5">
                  <c:v>Stormwater </c:v>
                </c:pt>
              </c:strCache>
            </c:strRef>
          </c:cat>
          <c:val>
            <c:numRef>
              <c:f/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strRef>
              <c:f>Strengths!$H$5</c:f>
              <c:strCache>
                <c:ptCount val="1"/>
                <c:pt idx="0">
                  <c:v>Strengths</c:v>
                </c:pt>
              </c:strCache>
            </c:strRef>
          </c:tx>
          <c:spPr>
            <a:solidFill>
              <a:srgbClr val="C0504D"/>
            </a:solidFill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C0504D"/>
              </a:solidFill>
              <a:ln>
                <a:solidFill>
                  <a:srgbClr val="C0504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/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strRef>
              <c:f>Strengths!$H$5</c:f>
              <c:strCache>
                <c:ptCount val="1"/>
                <c:pt idx="0">
                  <c:v>Strengths</c:v>
                </c:pt>
              </c:strCache>
            </c:strRef>
          </c:tx>
          <c:spPr>
            <a:solidFill>
              <a:srgbClr val="9BBB59"/>
            </a:solidFill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9BBB59"/>
              </a:solidFill>
              <a:ln>
                <a:solidFill>
                  <a:srgbClr val="9BBB59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/>
              <c:numCache>
                <c:formatCode>General</c:formatCode>
                <c:ptCount val="6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</c:numCache>
            </c:numRef>
          </c:val>
        </c:ser>
        <c:axId val="0"/>
        <c:axId val="1"/>
      </c:radarChart>
      <c:catAx>
        <c:axId val="0"/>
        <c:scaling>
          <c:orientation val="minMax"/>
        </c:scaling>
        <c:delete val="0"/>
        <c:axPos val="b"/>
        <c:numFmt formatCode="General" sourceLinked="0"/>
        <c:majorGridlines/>
        <c:majorTickMark val="out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majorUnit val="1.0"/>
        <c:crossAx val="0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r>
              <a:rPr lang="zh-CN"/>
              <a:t>Weaknesses</a:t>
            </a:r>
          </a:p>
        </c:rich>
      </c:tx>
      <c:layout>
        <c:manualLayout>
          <c:xMode val="edge"/>
          <c:yMode val="edge"/>
          <c:x val="0.028796297"/>
          <c:y val="0.018518623"/>
        </c:manualLayout>
      </c:layout>
      <c:overlay val="1"/>
      <c:spPr>
        <a:ln>
          <a:noFill/>
        </a:ln>
      </c:spPr>
    </c:title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Weaknesses!$H$5</c:f>
              <c:strCache>
                <c:ptCount val="1"/>
                <c:pt idx="0">
                  <c:v>Weaknesses</c:v>
                </c:pt>
              </c:strCache>
            </c:strRef>
          </c:tx>
          <c:spPr>
            <a:solidFill>
              <a:srgbClr val="4F81BD"/>
            </a:solidFill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4F81BD"/>
              </a:solidFill>
              <a:ln>
                <a:solidFill>
                  <a:srgbClr val="4F81B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'Weaknesses'!$H$6:$H$20</c:f>
              <c:strCache>
                <c:ptCount val="15"/>
                <c:pt idx="0">
                  <c:v>Financial Support (cost)</c:v>
                </c:pt>
                <c:pt idx="1">
                  <c:v>Infrastructure Modification (result in many site changes)</c:v>
                </c:pt>
                <c:pt idx="2">
                  <c:v>Earthwork (require more earthwork)</c:v>
                </c:pt>
                <c:pt idx="3">
                  <c:v>Post Services (maintenance)</c:v>
                </c:pt>
                <c:pt idx="4">
                  <c:v>access problem</c:v>
                </c:pt>
              </c:strCache>
            </c:strRef>
          </c:cat>
          <c:val>
            <c:numRef>
              <c:f/>
              <c:numCache>
                <c:formatCode>General</c:formatCode>
                <c:ptCount val="5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</c:numCache>
            </c:numRef>
          </c:val>
        </c:ser>
        <c:ser>
          <c:idx val="1"/>
          <c:order val="1"/>
          <c:tx>
            <c:strRef>
              <c:f>Weaknesses!$H$5</c:f>
              <c:strCache>
                <c:ptCount val="1"/>
                <c:pt idx="0">
                  <c:v>Weaknesses</c:v>
                </c:pt>
              </c:strCache>
            </c:strRef>
          </c:tx>
          <c:spPr>
            <a:solidFill>
              <a:srgbClr val="C0504D"/>
            </a:solidFill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C0504D"/>
              </a:solidFill>
              <a:ln>
                <a:solidFill>
                  <a:srgbClr val="C0504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/>
              <c:numCache>
                <c:formatCode>General</c:formatCode>
                <c:ptCount val="5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</c:numCache>
            </c:numRef>
          </c:val>
        </c:ser>
        <c:ser>
          <c:idx val="2"/>
          <c:order val="2"/>
          <c:tx>
            <c:strRef>
              <c:f>Weaknesses!$H$5</c:f>
              <c:strCache>
                <c:ptCount val="1"/>
                <c:pt idx="0">
                  <c:v>Weaknesses</c:v>
                </c:pt>
              </c:strCache>
            </c:strRef>
          </c:tx>
          <c:spPr>
            <a:solidFill>
              <a:srgbClr val="9BBB59"/>
            </a:solidFill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9BBB59"/>
              </a:solidFill>
              <a:ln>
                <a:solidFill>
                  <a:srgbClr val="9BBB59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/>
              <c:numCache>
                <c:formatCode>General</c:formatCode>
                <c:ptCount val="5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</c:numCache>
            </c:numRef>
          </c:val>
        </c:ser>
        <c:axId val="0"/>
        <c:axId val="1"/>
      </c:radarChart>
      <c:catAx>
        <c:axId val="0"/>
        <c:scaling>
          <c:orientation val="minMax"/>
        </c:scaling>
        <c:delete val="0"/>
        <c:axPos val="b"/>
        <c:numFmt formatCode="General" sourceLinked="0"/>
        <c:majorGridlines/>
        <c:majorTickMark val="out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majorUnit val="1.0"/>
        <c:crossAx val="0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r>
              <a:rPr lang="zh-CN"/>
              <a:t>Opportunities</a:t>
            </a:r>
          </a:p>
        </c:rich>
      </c:tx>
      <c:layout>
        <c:manualLayout>
          <c:xMode val="edge"/>
          <c:yMode val="edge"/>
          <c:x val="0.020910373"/>
          <c:y val="0.027777778"/>
        </c:manualLayout>
      </c:layout>
      <c:overlay val="1"/>
      <c:spPr>
        <a:ln>
          <a:noFill/>
        </a:ln>
      </c:spPr>
    </c:title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Opportunities!$Q$5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4F81BD"/>
              </a:solidFill>
              <a:ln>
                <a:solidFill>
                  <a:srgbClr val="4F81B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'Opportunities'!$H$6:$H$20</c:f>
              <c:strCache>
                <c:ptCount val="15"/>
                <c:pt idx="0">
                  <c:v>Environmental Sustainability </c:v>
                </c:pt>
                <c:pt idx="1">
                  <c:v>Good Profit (help to local community)</c:v>
                </c:pt>
                <c:pt idx="2">
                  <c:v>Economic growth</c:v>
                </c:pt>
                <c:pt idx="3">
                  <c:v>Urban innovation</c:v>
                </c:pt>
                <c:pt idx="4">
                  <c:v>Exclusive contracts</c:v>
                </c:pt>
              </c:strCache>
            </c:strRef>
          </c:cat>
          <c:val>
            <c:numRef>
              <c:f/>
              <c:numCache>
                <c:formatCode>General</c:formatCode>
                <c:ptCount val="5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</c:numCache>
            </c:numRef>
          </c:val>
        </c:ser>
        <c:ser>
          <c:idx val="1"/>
          <c:order val="1"/>
          <c:tx>
            <c:strRef>
              <c:f>Opportunities!$Q$6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C0504D"/>
              </a:solidFill>
              <a:ln>
                <a:solidFill>
                  <a:srgbClr val="C0504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/>
              <c:numCache>
                <c:formatCode>General</c:formatCode>
                <c:ptCount val="5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</c:numCache>
            </c:numRef>
          </c:val>
        </c:ser>
        <c:ser>
          <c:idx val="2"/>
          <c:order val="2"/>
          <c:tx>
            <c:strRef>
              <c:f>Opportunities!$Q$7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9BBB59"/>
              </a:solidFill>
              <a:ln>
                <a:solidFill>
                  <a:srgbClr val="9BBB59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/>
              <c:numCache>
                <c:formatCode>General</c:formatCode>
                <c:ptCount val="5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</c:numCache>
            </c:numRef>
          </c:val>
        </c:ser>
        <c:axId val="0"/>
        <c:axId val="1"/>
      </c:radarChart>
      <c:catAx>
        <c:axId val="0"/>
        <c:scaling>
          <c:orientation val="minMax"/>
        </c:scaling>
        <c:delete val="0"/>
        <c:axPos val="b"/>
        <c:numFmt formatCode="General" sourceLinked="0"/>
        <c:majorGridlines/>
        <c:majorTickMark val="out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majorUnit val="1.0"/>
        <c:crossAx val="0"/>
      </c:valAx>
      <c:spPr>
        <a:solidFill>
          <a:srgbClr val="FFFFFF"/>
        </a:solidFill>
      </c:spPr>
    </c:plotArea>
    <c:legend>
      <c:legendPos val="r"/>
      <c:layout>
        <c:manualLayout>
          <c:xMode val="edge"/>
          <c:yMode val="edge"/>
          <c:x val="0.010569894"/>
          <c:y val="0.92410946"/>
          <c:w val="0.98017085"/>
          <c:h val="0.06844738"/>
        </c:manualLayout>
      </c:layout>
      <c:overlay val="1"/>
      <c:spPr>
        <a:noFill/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Droid Sans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r>
              <a:rPr lang="zh-CN"/>
              <a:t>Threats</a:t>
            </a:r>
          </a:p>
        </c:rich>
      </c:tx>
      <c:layout>
        <c:manualLayout>
          <c:xMode val="edge"/>
          <c:yMode val="edge"/>
          <c:x val="0.037083212"/>
          <c:y val="0.023809524"/>
        </c:manualLayout>
      </c:layout>
      <c:overlay val="1"/>
      <c:spPr>
        <a:ln>
          <a:noFill/>
        </a:ln>
      </c:spPr>
    </c:title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Threats!$H$5</c:f>
              <c:strCache>
                <c:ptCount val="1"/>
                <c:pt idx="0">
                  <c:v>Threats</c:v>
                </c:pt>
              </c:strCache>
            </c:strRef>
          </c:tx>
          <c:spPr>
            <a:solidFill>
              <a:srgbClr val="4F81BD"/>
            </a:solidFill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4F81BD"/>
              </a:solidFill>
              <a:ln>
                <a:solidFill>
                  <a:srgbClr val="4F81B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'Threats'!$H$6:$H$20</c:f>
              <c:strCache>
                <c:ptCount val="15"/>
                <c:pt idx="0">
                  <c:v>Political Effect (local community will not like the design)</c:v>
                </c:pt>
                <c:pt idx="1">
                  <c:v>Alternate Design (may face competition)</c:v>
                </c:pt>
                <c:pt idx="2">
                  <c:v>Market Demand</c:v>
                </c:pt>
                <c:pt idx="3">
                  <c:v>Economic Situation (too expensive to build)</c:v>
                </c:pt>
                <c:pt idx="4">
                  <c:v>local ecology</c:v>
                </c:pt>
              </c:strCache>
            </c:strRef>
          </c:cat>
          <c:val>
            <c:numRef>
              <c:f>Dashboard!$I$6</c:f>
              <c:numCache>
                <c:formatCode>General</c:formatCode>
                <c:ptCount val="1"/>
              </c:numCache>
            </c:numRef>
          </c:val>
        </c:ser>
        <c:ser>
          <c:idx val="1"/>
          <c:order val="1"/>
          <c:tx>
            <c:strRef>
              <c:f>Threats!$H$5</c:f>
              <c:strCache>
                <c:ptCount val="1"/>
                <c:pt idx="0">
                  <c:v>Threats</c:v>
                </c:pt>
              </c:strCache>
            </c:strRef>
          </c:tx>
          <c:spPr>
            <a:solidFill>
              <a:srgbClr val="C0504D"/>
            </a:solidFill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C0504D"/>
              </a:solidFill>
              <a:ln>
                <a:solidFill>
                  <a:srgbClr val="C0504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Dashboard!$J$6</c:f>
              <c:numCache>
                <c:formatCode>General</c:formatCode>
                <c:ptCount val="1"/>
              </c:numCache>
            </c:numRef>
          </c:val>
        </c:ser>
        <c:ser>
          <c:idx val="2"/>
          <c:order val="2"/>
          <c:tx>
            <c:strRef>
              <c:f>Threats!$H$5</c:f>
              <c:strCache>
                <c:ptCount val="1"/>
                <c:pt idx="0">
                  <c:v>Threats</c:v>
                </c:pt>
              </c:strCache>
            </c:strRef>
          </c:tx>
          <c:spPr>
            <a:solidFill>
              <a:srgbClr val="9BBB59"/>
            </a:solidFill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9BBB59"/>
              </a:solidFill>
              <a:ln>
                <a:solidFill>
                  <a:srgbClr val="9BBB59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Dashboard!$K$6</c:f>
              <c:numCache>
                <c:formatCode>General</c:formatCode>
                <c:ptCount val="1"/>
              </c:numCache>
            </c:numRef>
          </c:val>
        </c:ser>
        <c:axId val="0"/>
        <c:axId val="1"/>
      </c:radarChart>
      <c:catAx>
        <c:axId val="0"/>
        <c:scaling>
          <c:orientation val="minMax"/>
        </c:scaling>
        <c:delete val="0"/>
        <c:axPos val="b"/>
        <c:numFmt formatCode="General" sourceLinked="0"/>
        <c:majorGridlines/>
        <c:majorTickMark val="out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majorUnit val="1.0"/>
        <c:crossAx val="0"/>
      </c:valAx>
      <c:spPr>
        <a:solidFill>
          <a:srgbClr val="FFFFFF"/>
        </a:solidFill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Strengths!$Q$5</c:f>
              <c:strCache>
                <c:ptCount val="1"/>
                <c:pt idx="0">
                  <c:v/>
                </c:pt>
              </c:strCache>
            </c:strRef>
          </c:tx>
          <c:spPr>
            <a:ln w="3175">
              <a:solidFill>
                <a:srgbClr val="4f81bd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4f81bd"/>
              </a:solidFill>
              <a:ln>
                <a:solidFill>
                  <a:srgbClr val="4f81b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'Strengths'!$H$6:$H$20</c:f>
              <c:strCache>
                <c:ptCount val="15"/>
                <c:pt idx="0">
                  <c:v>Community Support (Do you think community will like this design)</c:v>
                </c:pt>
                <c:pt idx="1">
                  <c:v>Infrastructure Availability (layout)</c:v>
                </c:pt>
                <c:pt idx="2">
                  <c:v>Sustainable design</c:v>
                </c:pt>
                <c:pt idx="3">
                  <c:v>Design efficieny (Site Use)</c:v>
                </c:pt>
                <c:pt idx="4">
                  <c:v>Design Readiness</c:v>
                </c:pt>
                <c:pt idx="5">
                  <c:v>Stormwater </c:v>
                </c:pt>
              </c:strCache>
            </c:strRef>
          </c:cat>
          <c:val>
            <c:numRef>
              <c:f>'Strengths'!$I$6:$I$11</c:f>
              <c:numCache>
                <c:formatCode>General</c:formatCode>
                <c:ptCount val="6"/>
                <c:pt idx="0">
                  <c:v>3.0</c:v>
                </c:pt>
                <c:pt idx="1">
                  <c:v>4.0</c:v>
                </c:pt>
                <c:pt idx="2">
                  <c:v>4.0</c:v>
                </c:pt>
                <c:pt idx="3">
                  <c:v>3.0</c:v>
                </c:pt>
                <c:pt idx="4">
                  <c:v>5.0</c:v>
                </c:pt>
                <c:pt idx="5">
                  <c:v>0.0</c:v>
                </c:pt>
              </c:numCache>
            </c:numRef>
          </c:val>
        </c:ser>
        <c:ser>
          <c:idx val="1"/>
          <c:order val="1"/>
          <c:tx>
            <c:strRef>
              <c:f>Strengths!$Q$6</c:f>
              <c:strCache>
                <c:ptCount val="1"/>
                <c:pt idx="0">
                  <c:v/>
                </c:pt>
              </c:strCache>
            </c:strRef>
          </c:tx>
          <c:spPr>
            <a:ln w="3175">
              <a:solidFill>
                <a:srgbClr val="c0504d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c0504d"/>
              </a:solidFill>
              <a:ln>
                <a:solidFill>
                  <a:srgbClr val="c0504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'Strengths'!$J$6:$J$11</c:f>
              <c:numCache>
                <c:formatCode>General</c:formatCode>
                <c:ptCount val="6"/>
                <c:pt idx="0">
                  <c:v>4.0</c:v>
                </c:pt>
                <c:pt idx="1">
                  <c:v>2.0</c:v>
                </c:pt>
                <c:pt idx="2">
                  <c:v>5.0</c:v>
                </c:pt>
                <c:pt idx="3">
                  <c:v>4.0</c:v>
                </c:pt>
                <c:pt idx="4">
                  <c:v>2.0</c:v>
                </c:pt>
                <c:pt idx="5">
                  <c:v>0.0</c:v>
                </c:pt>
              </c:numCache>
            </c:numRef>
          </c:val>
        </c:ser>
        <c:ser>
          <c:idx val="2"/>
          <c:order val="2"/>
          <c:tx>
            <c:strRef>
              <c:f>Strengths!$Q$7</c:f>
              <c:strCache>
                <c:ptCount val="1"/>
                <c:pt idx="0">
                  <c:v/>
                </c:pt>
              </c:strCache>
            </c:strRef>
          </c:tx>
          <c:spPr>
            <a:ln w="3175">
              <a:solidFill>
                <a:srgbClr val="9bbb59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9bbb59"/>
              </a:solidFill>
              <a:ln>
                <a:solidFill>
                  <a:srgbClr val="9bbb59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'Strengths'!$K$6:$K$11</c:f>
              <c:numCache>
                <c:formatCode>General</c:formatCode>
                <c:ptCount val="6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2.0</c:v>
                </c:pt>
                <c:pt idx="4">
                  <c:v>1.0</c:v>
                </c:pt>
                <c:pt idx="5">
                  <c:v>0.0</c:v>
                </c:pt>
              </c:numCache>
            </c:numRef>
          </c:val>
        </c:ser>
        <c:axId val="0"/>
        <c:axId val="1"/>
      </c:radarChart>
      <c:catAx>
        <c:axId val="0"/>
        <c:scaling>
          <c:orientation val="minMax"/>
        </c:scaling>
        <c:delete val="0"/>
        <c:axPos val="b"/>
        <c:numFmt formatCode="General" sourceLinked="0"/>
        <c:majorGridlines/>
        <c:majorTickMark val="out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majorUnit val="1.0"/>
        <c:crossAx val="0"/>
      </c:valAx>
      <c:spPr>
        <a:solidFill>
          <a:srgbClr val="FFFFFF"/>
        </a:solidFill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Droid Sans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Weaknesses!$Q$5</c:f>
              <c:strCache>
                <c:ptCount val="1"/>
                <c:pt idx="0">
                  <c:v/>
                </c:pt>
              </c:strCache>
            </c:strRef>
          </c:tx>
          <c:spPr>
            <a:ln w="3175">
              <a:solidFill>
                <a:srgbClr val="4f81bd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4f81bd"/>
              </a:solidFill>
              <a:ln>
                <a:solidFill>
                  <a:srgbClr val="4f81b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'Weaknesses'!$H$6:$H$20</c:f>
              <c:strCache>
                <c:ptCount val="15"/>
                <c:pt idx="0">
                  <c:v>Financial Support (cost)</c:v>
                </c:pt>
                <c:pt idx="1">
                  <c:v>Infrastructure Modification (result in many site changes)</c:v>
                </c:pt>
                <c:pt idx="2">
                  <c:v>Earthwork (require more earthwork)</c:v>
                </c:pt>
                <c:pt idx="3">
                  <c:v>Post Services (maintenance)</c:v>
                </c:pt>
                <c:pt idx="4">
                  <c:v>access problem</c:v>
                </c:pt>
              </c:strCache>
            </c:strRef>
          </c:cat>
          <c:val>
            <c:numRef>
              <c:f>'Weaknesses'!$I$6:$I$10</c:f>
              <c:numCache>
                <c:formatCode>General</c:formatCode>
                <c:ptCount val="5"/>
                <c:pt idx="0">
                  <c:v>3.0</c:v>
                </c:pt>
                <c:pt idx="1">
                  <c:v>3.0</c:v>
                </c:pt>
                <c:pt idx="2">
                  <c:v>5.0</c:v>
                </c:pt>
                <c:pt idx="3">
                  <c:v>3.0</c:v>
                </c:pt>
                <c:pt idx="4">
                  <c:v>4.0</c:v>
                </c:pt>
              </c:numCache>
            </c:numRef>
          </c:val>
        </c:ser>
        <c:ser>
          <c:idx val="1"/>
          <c:order val="1"/>
          <c:tx>
            <c:strRef>
              <c:f>Weaknesses!$Q$6</c:f>
              <c:strCache>
                <c:ptCount val="1"/>
                <c:pt idx="0">
                  <c:v/>
                </c:pt>
              </c:strCache>
            </c:strRef>
          </c:tx>
          <c:spPr>
            <a:ln w="3175">
              <a:solidFill>
                <a:srgbClr val="c0504d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c0504d"/>
              </a:solidFill>
              <a:ln>
                <a:solidFill>
                  <a:srgbClr val="c0504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'Weaknesses'!$J$6:$J$10</c:f>
              <c:numCache>
                <c:formatCode>General</c:formatCode>
                <c:ptCount val="5"/>
                <c:pt idx="0">
                  <c:v>4.0</c:v>
                </c:pt>
                <c:pt idx="1">
                  <c:v>3.0</c:v>
                </c:pt>
                <c:pt idx="2">
                  <c:v>3.0</c:v>
                </c:pt>
                <c:pt idx="3">
                  <c:v>5.0</c:v>
                </c:pt>
                <c:pt idx="4">
                  <c:v>3.0</c:v>
                </c:pt>
              </c:numCache>
            </c:numRef>
          </c:val>
        </c:ser>
        <c:ser>
          <c:idx val="2"/>
          <c:order val="2"/>
          <c:tx>
            <c:strRef>
              <c:f>Weaknesses!$Q$7</c:f>
              <c:strCache>
                <c:ptCount val="1"/>
                <c:pt idx="0">
                  <c:v/>
                </c:pt>
              </c:strCache>
            </c:strRef>
          </c:tx>
          <c:spPr>
            <a:ln w="3175">
              <a:solidFill>
                <a:srgbClr val="9bbb59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9bbb59"/>
              </a:solidFill>
              <a:ln>
                <a:solidFill>
                  <a:srgbClr val="9bbb59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'Weaknesses'!$K$6:$K$10</c:f>
              <c:numCache>
                <c:formatCode>General</c:formatCode>
                <c:ptCount val="5"/>
                <c:pt idx="0">
                  <c:v>2.0</c:v>
                </c:pt>
                <c:pt idx="1">
                  <c:v>2.0</c:v>
                </c:pt>
                <c:pt idx="2">
                  <c:v>3.0</c:v>
                </c:pt>
                <c:pt idx="3">
                  <c:v>2.0</c:v>
                </c:pt>
                <c:pt idx="4">
                  <c:v>1.0</c:v>
                </c:pt>
              </c:numCache>
            </c:numRef>
          </c:val>
        </c:ser>
        <c:axId val="0"/>
        <c:axId val="1"/>
      </c:radarChart>
      <c:catAx>
        <c:axId val="0"/>
        <c:scaling>
          <c:orientation val="minMax"/>
        </c:scaling>
        <c:delete val="0"/>
        <c:axPos val="b"/>
        <c:numFmt formatCode="General" sourceLinked="0"/>
        <c:majorGridlines/>
        <c:majorTickMark val="out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majorUnit val="1.0"/>
        <c:crossAx val="0"/>
      </c:valAx>
      <c:spPr>
        <a:solidFill>
          <a:srgbClr val="FFFFFF"/>
        </a:solidFill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Droid Sans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Opportunities!$Q$5</c:f>
              <c:strCache>
                <c:ptCount val="1"/>
                <c:pt idx="0">
                  <c:v/>
                </c:pt>
              </c:strCache>
            </c:strRef>
          </c:tx>
          <c:spPr>
            <a:ln w="3175">
              <a:solidFill>
                <a:srgbClr val="4f81bd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4f81bd"/>
              </a:solidFill>
              <a:ln>
                <a:solidFill>
                  <a:srgbClr val="4f81b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'Opportunities'!$H$6:$H$20</c:f>
              <c:strCache>
                <c:ptCount val="15"/>
                <c:pt idx="0">
                  <c:v>Environmental Sustainability </c:v>
                </c:pt>
                <c:pt idx="1">
                  <c:v>Good Profit (help to local community)</c:v>
                </c:pt>
                <c:pt idx="2">
                  <c:v>Economic growth</c:v>
                </c:pt>
                <c:pt idx="3">
                  <c:v>Urban innovation</c:v>
                </c:pt>
                <c:pt idx="4">
                  <c:v>Exclusive contracts</c:v>
                </c:pt>
              </c:strCache>
            </c:strRef>
          </c:cat>
          <c:val>
            <c:numRef>
              <c:f>'Opportunities'!$I$6:$I$10</c:f>
              <c:numCache>
                <c:formatCode>General</c:formatCode>
                <c:ptCount val="5"/>
                <c:pt idx="0">
                  <c:v>4.0</c:v>
                </c:pt>
                <c:pt idx="1">
                  <c:v>5.0</c:v>
                </c:pt>
                <c:pt idx="2">
                  <c:v>3.0</c:v>
                </c:pt>
                <c:pt idx="3">
                  <c:v>2.0</c:v>
                </c:pt>
                <c:pt idx="4">
                  <c:v>2.0</c:v>
                </c:pt>
              </c:numCache>
            </c:numRef>
          </c:val>
        </c:ser>
        <c:ser>
          <c:idx val="1"/>
          <c:order val="1"/>
          <c:tx>
            <c:strRef>
              <c:f>Opportunities!$Q$6</c:f>
              <c:strCache>
                <c:ptCount val="1"/>
                <c:pt idx="0">
                  <c:v/>
                </c:pt>
              </c:strCache>
            </c:strRef>
          </c:tx>
          <c:spPr>
            <a:ln w="3175">
              <a:solidFill>
                <a:srgbClr val="c0504d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c0504d"/>
              </a:solidFill>
              <a:ln>
                <a:solidFill>
                  <a:srgbClr val="c0504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'Opportunities'!$J$6:$J$10</c:f>
              <c:numCache>
                <c:formatCode>General</c:formatCode>
                <c:ptCount val="5"/>
                <c:pt idx="0">
                  <c:v>3.0</c:v>
                </c:pt>
                <c:pt idx="1">
                  <c:v>4.0</c:v>
                </c:pt>
                <c:pt idx="2">
                  <c:v>4.0</c:v>
                </c:pt>
                <c:pt idx="3">
                  <c:v>3.0</c:v>
                </c:pt>
                <c:pt idx="4">
                  <c:v>2.0</c:v>
                </c:pt>
              </c:numCache>
            </c:numRef>
          </c:val>
        </c:ser>
        <c:ser>
          <c:idx val="2"/>
          <c:order val="2"/>
          <c:tx>
            <c:strRef>
              <c:f>Opportunities!$Q$7</c:f>
              <c:strCache>
                <c:ptCount val="1"/>
                <c:pt idx="0">
                  <c:v/>
                </c:pt>
              </c:strCache>
            </c:strRef>
          </c:tx>
          <c:spPr>
            <a:ln w="3175">
              <a:solidFill>
                <a:srgbClr val="9bbb59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9bbb59"/>
              </a:solidFill>
              <a:ln>
                <a:solidFill>
                  <a:srgbClr val="9bbb59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'Opportunities'!$K$6:$K$10</c:f>
              <c:numCache>
                <c:formatCode>General</c:formatCode>
                <c:ptCount val="5"/>
                <c:pt idx="0">
                  <c:v>3.0</c:v>
                </c:pt>
                <c:pt idx="1">
                  <c:v>2.0</c:v>
                </c:pt>
                <c:pt idx="2">
                  <c:v>2.0</c:v>
                </c:pt>
                <c:pt idx="3">
                  <c:v>5.0</c:v>
                </c:pt>
                <c:pt idx="4">
                  <c:v>3.0</c:v>
                </c:pt>
              </c:numCache>
            </c:numRef>
          </c:val>
        </c:ser>
        <c:axId val="0"/>
        <c:axId val="1"/>
      </c:radarChart>
      <c:catAx>
        <c:axId val="0"/>
        <c:scaling>
          <c:orientation val="minMax"/>
        </c:scaling>
        <c:delete val="0"/>
        <c:axPos val="b"/>
        <c:numFmt formatCode="General" sourceLinked="0"/>
        <c:majorGridlines/>
        <c:majorTickMark val="out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majorUnit val="1.0"/>
        <c:crossAx val="0"/>
      </c:valAx>
      <c:spPr>
        <a:solidFill>
          <a:srgbClr val="FFFFFF"/>
        </a:solidFill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Droid Sans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Threats!$Q$5</c:f>
              <c:strCache>
                <c:ptCount val="1"/>
                <c:pt idx="0">
                  <c:v/>
                </c:pt>
              </c:strCache>
            </c:strRef>
          </c:tx>
          <c:spPr>
            <a:ln w="3175">
              <a:solidFill>
                <a:srgbClr val="4f81bd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4f81bd"/>
              </a:solidFill>
              <a:ln>
                <a:solidFill>
                  <a:srgbClr val="4f81b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'Threats'!$H$6:$H$20</c:f>
              <c:strCache>
                <c:ptCount val="15"/>
                <c:pt idx="0">
                  <c:v>Political Effect (local community will not like the design)</c:v>
                </c:pt>
                <c:pt idx="1">
                  <c:v>Alternate Design (may face competition)</c:v>
                </c:pt>
                <c:pt idx="2">
                  <c:v>Market Demand</c:v>
                </c:pt>
                <c:pt idx="3">
                  <c:v>Economic Situation (too expensive to build)</c:v>
                </c:pt>
                <c:pt idx="4">
                  <c:v>local ecology</c:v>
                </c:pt>
              </c:strCache>
            </c:strRef>
          </c:cat>
          <c:val>
            <c:numRef>
              <c:f>Threats!$I$6</c:f>
              <c:numCache>
                <c:formatCode>General</c:formatCode>
                <c:ptCount val="1"/>
                <c:pt idx="0">
                  <c:v>3.0</c:v>
                </c:pt>
              </c:numCache>
            </c:numRef>
          </c:val>
        </c:ser>
        <c:ser>
          <c:idx val="1"/>
          <c:order val="1"/>
          <c:tx>
            <c:strRef>
              <c:f>Threats!$Q$6</c:f>
              <c:strCache>
                <c:ptCount val="1"/>
                <c:pt idx="0">
                  <c:v/>
                </c:pt>
              </c:strCache>
            </c:strRef>
          </c:tx>
          <c:spPr>
            <a:ln w="3175">
              <a:solidFill>
                <a:srgbClr val="c0504d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c0504d"/>
              </a:solidFill>
              <a:ln>
                <a:solidFill>
                  <a:srgbClr val="c0504d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Threats!$J$6</c:f>
              <c:numCache>
                <c:formatCode>General</c:formatCode>
                <c:ptCount val="1"/>
                <c:pt idx="0">
                  <c:v>3.0</c:v>
                </c:pt>
              </c:numCache>
            </c:numRef>
          </c:val>
        </c:ser>
        <c:ser>
          <c:idx val="2"/>
          <c:order val="2"/>
          <c:tx>
            <c:strRef>
              <c:f>Threats!$Q$7</c:f>
              <c:strCache>
                <c:ptCount val="1"/>
                <c:pt idx="0">
                  <c:v/>
                </c:pt>
              </c:strCache>
            </c:strRef>
          </c:tx>
          <c:spPr>
            <a:ln w="3175">
              <a:solidFill>
                <a:srgbClr val="9bbb59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9bbb59"/>
              </a:solidFill>
              <a:ln>
                <a:solidFill>
                  <a:srgbClr val="9bbb59"/>
                </a:solidFill>
                <a:prstDash val="solid"/>
              </a:ln>
            </c:spPr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Threats!$K$6</c:f>
              <c:numCache>
                <c:formatCode>General</c:formatCode>
                <c:ptCount val="1"/>
                <c:pt idx="0">
                  <c:v>2.0</c:v>
                </c:pt>
              </c:numCache>
            </c:numRef>
          </c:val>
        </c:ser>
        <c:axId val="0"/>
        <c:axId val="1"/>
      </c:radarChart>
      <c:catAx>
        <c:axId val="0"/>
        <c:scaling>
          <c:orientation val="minMax"/>
        </c:scaling>
        <c:delete val="0"/>
        <c:axPos val="b"/>
        <c:numFmt formatCode="General" sourceLinked="0"/>
        <c:majorGridlines/>
        <c:majorTickMark val="out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auto val="1"/>
        <c:lblOffset val="100"/>
        <c:lblAlgn val="ctr"/>
        <c:noMultiLvlLbl val="0"/>
        <c:crossAx val="1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Droid Sans"/>
                <a:ea typeface="Droid Sans"/>
                <a:cs typeface="Lucida Sans"/>
              </a:defRPr>
            </a:pPr>
            <a:endParaRPr lang="zh-CN"/>
          </a:p>
        </c:txPr>
        <c:crosses val="autoZero"/>
        <c:crossBetween val="between"/>
        <c:majorUnit val="1.0"/>
        <c:crossAx val="0"/>
      </c:valAx>
      <c:spPr>
        <a:solidFill>
          <a:srgbClr val="FFFFFF"/>
        </a:solidFill>
      </c:spPr>
    </c:plotArea>
    <c:legend>
      <c:legendPos val="b"/>
      <c:layout/>
      <c:overlay val="0"/>
      <c:spPr>
        <a:noFill/>
        <a:ln>
          <a:noFill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Droid Sans"/>
              <a:ea typeface="Droid Sans"/>
              <a:cs typeface="Lucida Sans"/>
            </a:defRPr>
          </a:pPr>
          <a:endParaRPr lang="zh-CN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Droid Sans"/>
          <a:ea typeface="Droid Sans"/>
          <a:cs typeface="Lucida San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1.emf"/><Relationship Id="rId3" Type="http://schemas.openxmlformats.org/officeDocument/2006/relationships/image" Target="../media/2.emf"/><Relationship Id="rId4" Type="http://schemas.openxmlformats.org/officeDocument/2006/relationships/image" Target="../media/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4.emf"/><Relationship Id="rId3" Type="http://schemas.openxmlformats.org/officeDocument/2006/relationships/image" Target="../media/5.emf"/><Relationship Id="rId4" Type="http://schemas.openxmlformats.org/officeDocument/2006/relationships/image" Target="../media/6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image" Target="../media/7.emf"/><Relationship Id="rId3" Type="http://schemas.openxmlformats.org/officeDocument/2006/relationships/image" Target="../media/8.emf"/><Relationship Id="rId4" Type="http://schemas.openxmlformats.org/officeDocument/2006/relationships/image" Target="../media/9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image" Target="../media/10.emf"/><Relationship Id="rId3" Type="http://schemas.openxmlformats.org/officeDocument/2006/relationships/image" Target="../media/11.emf"/><Relationship Id="rId4" Type="http://schemas.openxmlformats.org/officeDocument/2006/relationships/image" Target="../media/12.em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2</xdr:row>
      <xdr:rowOff>104773</xdr:rowOff>
    </xdr:from>
    <xdr:to>
      <xdr:col>7</xdr:col>
      <xdr:colOff>457200</xdr:colOff>
      <xdr:row>19</xdr:row>
      <xdr:rowOff>66674</xdr:rowOff>
    </xdr:to>
    <xdr:graphicFrame>
      <xdr:nvGraphicFramePr>
        <xdr:cNvPr id="2" name="Chart 4"/>
        <xdr:cNvGraphicFramePr/>
      </xdr:nvGraphicFramePr>
      <xdr:xfrm>
        <a:off x="238121" y="561967"/>
        <a:ext cx="4571937" cy="3038428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twoCell">
    <xdr:from>
      <xdr:col>7</xdr:col>
      <xdr:colOff>447676</xdr:colOff>
      <xdr:row>2</xdr:row>
      <xdr:rowOff>104773</xdr:rowOff>
    </xdr:from>
    <xdr:to>
      <xdr:col>14</xdr:col>
      <xdr:colOff>295276</xdr:colOff>
      <xdr:row>19</xdr:row>
      <xdr:rowOff>66674</xdr:rowOff>
    </xdr:to>
    <xdr:graphicFrame>
      <xdr:nvGraphicFramePr>
        <xdr:cNvPr id="3" name="Chart 7"/>
        <xdr:cNvGraphicFramePr/>
      </xdr:nvGraphicFramePr>
      <xdr:xfrm>
        <a:off x="4800535" y="561967"/>
        <a:ext cx="4648126" cy="3038428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 editAs="twoCell">
    <xdr:from>
      <xdr:col>1</xdr:col>
      <xdr:colOff>0</xdr:colOff>
      <xdr:row>18</xdr:row>
      <xdr:rowOff>123825</xdr:rowOff>
    </xdr:from>
    <xdr:to>
      <xdr:col>7</xdr:col>
      <xdr:colOff>457200</xdr:colOff>
      <xdr:row>35</xdr:row>
      <xdr:rowOff>85725</xdr:rowOff>
    </xdr:to>
    <xdr:graphicFrame>
      <xdr:nvGraphicFramePr>
        <xdr:cNvPr id="4" name="Chart 8"/>
        <xdr:cNvGraphicFramePr/>
      </xdr:nvGraphicFramePr>
      <xdr:xfrm>
        <a:off x="238121" y="3476574"/>
        <a:ext cx="4571937" cy="3038428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 editAs="twoCell">
    <xdr:from>
      <xdr:col>7</xdr:col>
      <xdr:colOff>447676</xdr:colOff>
      <xdr:row>18</xdr:row>
      <xdr:rowOff>123825</xdr:rowOff>
    </xdr:from>
    <xdr:to>
      <xdr:col>14</xdr:col>
      <xdr:colOff>295276</xdr:colOff>
      <xdr:row>35</xdr:row>
      <xdr:rowOff>85725</xdr:rowOff>
    </xdr:to>
    <xdr:graphicFrame>
      <xdr:nvGraphicFramePr>
        <xdr:cNvPr id="5" name="Chart 9"/>
        <xdr:cNvGraphicFramePr/>
      </xdr:nvGraphicFramePr>
      <xdr:xfrm>
        <a:off x="4800535" y="3476574"/>
        <a:ext cx="4648126" cy="3038428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47625</xdr:colOff>
      <xdr:row>2</xdr:row>
      <xdr:rowOff>38100</xdr:rowOff>
    </xdr:from>
    <xdr:to>
      <xdr:col>15</xdr:col>
      <xdr:colOff>95250</xdr:colOff>
      <xdr:row>21</xdr:row>
      <xdr:rowOff>76200</xdr:rowOff>
    </xdr:to>
    <xdr:graphicFrame>
      <xdr:nvGraphicFramePr>
        <xdr:cNvPr id="2" name="Chart 3"/>
        <xdr:cNvGraphicFramePr/>
      </xdr:nvGraphicFramePr>
      <xdr:xfrm>
        <a:off x="5657764" y="457193"/>
        <a:ext cx="4543356" cy="3524197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3</xdr:col>
      <xdr:colOff>209546</xdr:colOff>
      <xdr:row>3</xdr:row>
      <xdr:rowOff>47624</xdr:rowOff>
    </xdr:from>
    <xdr:to>
      <xdr:col>3</xdr:col>
      <xdr:colOff>514342</xdr:colOff>
      <xdr:row>4</xdr:row>
      <xdr:rowOff>0</xdr:rowOff>
    </xdr:to>
    <xdr:pic>
      <xdr:nvPicPr>
        <xdr:cNvPr id="3" name="CheckBox1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4048063" y="647690"/>
          <a:ext cx="304795" cy="133347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4</xdr:col>
      <xdr:colOff>209546</xdr:colOff>
      <xdr:row>3</xdr:row>
      <xdr:rowOff>47624</xdr:rowOff>
    </xdr:from>
    <xdr:to>
      <xdr:col>4</xdr:col>
      <xdr:colOff>514342</xdr:colOff>
      <xdr:row>4</xdr:row>
      <xdr:rowOff>0</xdr:rowOff>
    </xdr:to>
    <xdr:pic>
      <xdr:nvPicPr>
        <xdr:cNvPr id="4" name="CheckBox2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638604" y="647690"/>
          <a:ext cx="304795" cy="133347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5</xdr:col>
      <xdr:colOff>219071</xdr:colOff>
      <xdr:row>3</xdr:row>
      <xdr:rowOff>47624</xdr:rowOff>
    </xdr:from>
    <xdr:to>
      <xdr:col>5</xdr:col>
      <xdr:colOff>523867</xdr:colOff>
      <xdr:row>4</xdr:row>
      <xdr:rowOff>0</xdr:rowOff>
    </xdr:to>
    <xdr:pic>
      <xdr:nvPicPr>
        <xdr:cNvPr id="5" name="CheckBox3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5238670" y="647690"/>
          <a:ext cx="304795" cy="133347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38100</xdr:colOff>
      <xdr:row>2</xdr:row>
      <xdr:rowOff>76199</xdr:rowOff>
    </xdr:from>
    <xdr:to>
      <xdr:col>15</xdr:col>
      <xdr:colOff>85725</xdr:colOff>
      <xdr:row>21</xdr:row>
      <xdr:rowOff>114299</xdr:rowOff>
    </xdr:to>
    <xdr:graphicFrame>
      <xdr:nvGraphicFramePr>
        <xdr:cNvPr id="2" name="Chart 1"/>
        <xdr:cNvGraphicFramePr/>
      </xdr:nvGraphicFramePr>
      <xdr:xfrm>
        <a:off x="5648239" y="495292"/>
        <a:ext cx="4543356" cy="3524197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3</xdr:col>
      <xdr:colOff>209546</xdr:colOff>
      <xdr:row>3</xdr:row>
      <xdr:rowOff>47624</xdr:rowOff>
    </xdr:from>
    <xdr:to>
      <xdr:col>3</xdr:col>
      <xdr:colOff>514342</xdr:colOff>
      <xdr:row>4</xdr:row>
      <xdr:rowOff>0</xdr:rowOff>
    </xdr:to>
    <xdr:pic>
      <xdr:nvPicPr>
        <xdr:cNvPr id="3" name="CheckBox1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4048063" y="647690"/>
          <a:ext cx="304795" cy="133347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4</xdr:col>
      <xdr:colOff>209546</xdr:colOff>
      <xdr:row>3</xdr:row>
      <xdr:rowOff>47624</xdr:rowOff>
    </xdr:from>
    <xdr:to>
      <xdr:col>4</xdr:col>
      <xdr:colOff>514342</xdr:colOff>
      <xdr:row>4</xdr:row>
      <xdr:rowOff>0</xdr:rowOff>
    </xdr:to>
    <xdr:pic>
      <xdr:nvPicPr>
        <xdr:cNvPr id="4" name="CheckBox2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638604" y="647690"/>
          <a:ext cx="304795" cy="133347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5</xdr:col>
      <xdr:colOff>219071</xdr:colOff>
      <xdr:row>3</xdr:row>
      <xdr:rowOff>47624</xdr:rowOff>
    </xdr:from>
    <xdr:to>
      <xdr:col>5</xdr:col>
      <xdr:colOff>523867</xdr:colOff>
      <xdr:row>4</xdr:row>
      <xdr:rowOff>0</xdr:rowOff>
    </xdr:to>
    <xdr:pic>
      <xdr:nvPicPr>
        <xdr:cNvPr id="5" name="CheckBox3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5238670" y="647690"/>
          <a:ext cx="304795" cy="133347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66675</xdr:colOff>
      <xdr:row>2</xdr:row>
      <xdr:rowOff>47624</xdr:rowOff>
    </xdr:from>
    <xdr:to>
      <xdr:col>15</xdr:col>
      <xdr:colOff>114300</xdr:colOff>
      <xdr:row>21</xdr:row>
      <xdr:rowOff>85724</xdr:rowOff>
    </xdr:to>
    <xdr:graphicFrame>
      <xdr:nvGraphicFramePr>
        <xdr:cNvPr id="2" name="Chart 1"/>
        <xdr:cNvGraphicFramePr/>
      </xdr:nvGraphicFramePr>
      <xdr:xfrm>
        <a:off x="5676814" y="466717"/>
        <a:ext cx="4543357" cy="3524197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3</xdr:col>
      <xdr:colOff>209546</xdr:colOff>
      <xdr:row>3</xdr:row>
      <xdr:rowOff>47624</xdr:rowOff>
    </xdr:from>
    <xdr:to>
      <xdr:col>3</xdr:col>
      <xdr:colOff>514342</xdr:colOff>
      <xdr:row>4</xdr:row>
      <xdr:rowOff>0</xdr:rowOff>
    </xdr:to>
    <xdr:pic>
      <xdr:nvPicPr>
        <xdr:cNvPr id="3" name="CheckBox1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4048063" y="647690"/>
          <a:ext cx="304795" cy="133347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4</xdr:col>
      <xdr:colOff>209546</xdr:colOff>
      <xdr:row>3</xdr:row>
      <xdr:rowOff>47624</xdr:rowOff>
    </xdr:from>
    <xdr:to>
      <xdr:col>4</xdr:col>
      <xdr:colOff>514342</xdr:colOff>
      <xdr:row>4</xdr:row>
      <xdr:rowOff>0</xdr:rowOff>
    </xdr:to>
    <xdr:pic>
      <xdr:nvPicPr>
        <xdr:cNvPr id="4" name="CheckBox2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638604" y="647690"/>
          <a:ext cx="304795" cy="133347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5</xdr:col>
      <xdr:colOff>219071</xdr:colOff>
      <xdr:row>3</xdr:row>
      <xdr:rowOff>47624</xdr:rowOff>
    </xdr:from>
    <xdr:to>
      <xdr:col>5</xdr:col>
      <xdr:colOff>523867</xdr:colOff>
      <xdr:row>4</xdr:row>
      <xdr:rowOff>0</xdr:rowOff>
    </xdr:to>
    <xdr:pic>
      <xdr:nvPicPr>
        <xdr:cNvPr id="5" name="CheckBox3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5238670" y="647690"/>
          <a:ext cx="304795" cy="133347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57150</xdr:colOff>
      <xdr:row>2</xdr:row>
      <xdr:rowOff>57150</xdr:rowOff>
    </xdr:from>
    <xdr:to>
      <xdr:col>15</xdr:col>
      <xdr:colOff>104775</xdr:colOff>
      <xdr:row>21</xdr:row>
      <xdr:rowOff>95250</xdr:rowOff>
    </xdr:to>
    <xdr:graphicFrame>
      <xdr:nvGraphicFramePr>
        <xdr:cNvPr id="2" name="Chart 1"/>
        <xdr:cNvGraphicFramePr/>
      </xdr:nvGraphicFramePr>
      <xdr:xfrm>
        <a:off x="5667290" y="476243"/>
        <a:ext cx="4543356" cy="3476572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3</xdr:col>
      <xdr:colOff>209546</xdr:colOff>
      <xdr:row>3</xdr:row>
      <xdr:rowOff>47624</xdr:rowOff>
    </xdr:from>
    <xdr:to>
      <xdr:col>3</xdr:col>
      <xdr:colOff>514342</xdr:colOff>
      <xdr:row>4</xdr:row>
      <xdr:rowOff>0</xdr:rowOff>
    </xdr:to>
    <xdr:pic>
      <xdr:nvPicPr>
        <xdr:cNvPr id="3" name="CheckBox1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4048063" y="647690"/>
          <a:ext cx="304795" cy="133347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4</xdr:col>
      <xdr:colOff>209546</xdr:colOff>
      <xdr:row>3</xdr:row>
      <xdr:rowOff>47624</xdr:rowOff>
    </xdr:from>
    <xdr:to>
      <xdr:col>4</xdr:col>
      <xdr:colOff>514342</xdr:colOff>
      <xdr:row>4</xdr:row>
      <xdr:rowOff>0</xdr:rowOff>
    </xdr:to>
    <xdr:pic>
      <xdr:nvPicPr>
        <xdr:cNvPr id="4" name="CheckBox2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638604" y="647690"/>
          <a:ext cx="304795" cy="133347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5</xdr:col>
      <xdr:colOff>219071</xdr:colOff>
      <xdr:row>3</xdr:row>
      <xdr:rowOff>47624</xdr:rowOff>
    </xdr:from>
    <xdr:to>
      <xdr:col>5</xdr:col>
      <xdr:colOff>523867</xdr:colOff>
      <xdr:row>4</xdr:row>
      <xdr:rowOff>0</xdr:rowOff>
    </xdr:to>
    <xdr:pic>
      <xdr:nvPicPr>
        <xdr:cNvPr id="5" name="CheckBox3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5238670" y="647690"/>
          <a:ext cx="304795" cy="133347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  <pageSetUpPr fitToPage="1"/>
  </sheetPr>
  <dimension ref="A1:XFD23"/>
  <sheetViews>
    <sheetView showGridLines="0" zoomScale="30" zoomScaleNormal="30" topLeftCell="C1" workbookViewId="0">
      <selection activeCell="F10" activeCellId="0" sqref="F10"/>
    </sheetView>
  </sheetViews>
  <sheetFormatPr defaultRowHeight="14.5" defaultColWidth="10.5" x14ac:dyDescent="0.15"/>
  <cols>
    <col min="1" max="2" width="4.166666666666667" customWidth="1" style="2"/>
    <col min="3" max="3" width="58.833333333333336" customWidth="1" style="2"/>
    <col min="4" max="6" width="10.333333333333334" customWidth="1" style="2"/>
    <col min="7" max="7" width="10.666666666666666" customWidth="1" style="2"/>
    <col min="8" max="8" width="12.833333333333334" customWidth="1" style="2"/>
    <col min="9" max="11" width="4.166666666666667" customWidth="1" style="2"/>
    <col min="12" max="15" width="10.666666666666666" customWidth="1" style="2"/>
    <col min="16" max="16" width="18.166666666666668" customWidth="1" style="2"/>
    <col min="17" max="17" width="19.166666666666668" customWidth="1" style="2"/>
    <col min="18" max="16384" width="10.666666666666666" customWidth="1" style="2"/>
  </cols>
  <sheetData>
    <row r="2" spans="1:18" ht="19.0" customHeight="1" x14ac:dyDescent="0.15">
      <c r="B2" s="11" t="s">
        <v>15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4:6" x14ac:dyDescent="0.15">
      <c r="D3" s="4" t="b">
        <v>1</v>
      </c>
      <c r="E3" s="4" t="b">
        <v>1</v>
      </c>
      <c r="F3" s="4" t="b">
        <v>1</v>
      </c>
    </row>
    <row r="4" spans="2:16" x14ac:dyDescent="0.15">
      <c r="B4" s="18" t="s">
        <v>16</v>
      </c>
      <c r="C4" s="18" t="s">
        <v>17</v>
      </c>
      <c r="D4" s="6"/>
      <c r="E4" s="6"/>
      <c r="F4" s="6"/>
      <c r="P4" s="5" t="s">
        <v>18</v>
      </c>
    </row>
    <row r="5" spans="2:17" x14ac:dyDescent="0.15">
      <c r="B5" s="18"/>
      <c r="C5" s="18"/>
      <c r="D5" s="6" t="s">
        <v>19</v>
      </c>
      <c r="E5" s="6" t="s">
        <v>20</v>
      </c>
      <c r="F5" s="6" t="s">
        <v>21</v>
      </c>
      <c r="H5" s="4" t="s">
        <v>22</v>
      </c>
      <c r="I5" s="4">
        <f>IF(COUNT(I6:I20)=0,1,COUNT(I6:I20))</f>
        <v>6</v>
      </c>
      <c r="J5" s="4">
        <f>IF(COUNT(J6:J20)=0,1,COUNT(J6:J20))</f>
        <v>6</v>
      </c>
      <c r="K5" s="4">
        <f>IF(COUNT(K6:K20)=0,1,COUNT(K6:K20))</f>
        <v>6</v>
      </c>
      <c r="P5" s="13" t="s">
        <v>23</v>
      </c>
      <c r="Q5" s="3"/>
    </row>
    <row r="6" spans="1:17" ht="15.0" customHeight="1" x14ac:dyDescent="0.15">
      <c r="B6" s="6">
        <v>1.0</v>
      </c>
      <c r="C6" s="7" t="s">
        <v>24</v>
      </c>
      <c r="D6" s="6">
        <v>3</v>
      </c>
      <c r="E6" s="6">
        <v>4</v>
      </c>
      <c r="F6" s="6">
        <v>3</v>
      </c>
      <c r="H6" s="4" t="s">
        <f>IF(C6&lt;&gt;"",C6,"")</f>
        <v>24</v>
      </c>
      <c r="I6" s="4">
        <f>IF(D$3=TRUE,IF($C6&lt;&gt;"",D6,""),NA())</f>
        <v>3</v>
      </c>
      <c r="J6" s="4">
        <f>IF(E$3=TRUE,IF($C6&lt;&gt;"",E6,""),NA())</f>
        <v>4</v>
      </c>
      <c r="K6" s="4">
        <f>IF(F$3=TRUE,IF($C6&lt;&gt;"",F6,""),NA())</f>
        <v>3</v>
      </c>
      <c r="P6" s="13" t="s">
        <v>25</v>
      </c>
      <c r="Q6" s="3"/>
    </row>
    <row r="7" spans="1:17" ht="15.0" customHeight="1" x14ac:dyDescent="0.15">
      <c r="B7" s="6">
        <v>2.0</v>
      </c>
      <c r="C7" s="7" t="s">
        <v>26</v>
      </c>
      <c r="D7" s="6">
        <v>4</v>
      </c>
      <c r="E7" s="6">
        <v>2</v>
      </c>
      <c r="F7" s="6">
        <v>3</v>
      </c>
      <c r="H7" s="4" t="s">
        <f>IF(C7&lt;&gt;"",C7,"")</f>
        <v>26</v>
      </c>
      <c r="I7" s="4">
        <f>IF(D$3=TRUE,IF($C7&lt;&gt;"",D7,""),"")</f>
        <v>4</v>
      </c>
      <c r="J7" s="4">
        <f>IF(E$3=TRUE,IF($C7&lt;&gt;"",E7,""),"")</f>
        <v>2</v>
      </c>
      <c r="K7" s="4">
        <f>IF(F$3=TRUE,IF($C7&lt;&gt;"",F7,""),"")</f>
        <v>3</v>
      </c>
      <c r="P7" s="13" t="s">
        <v>27</v>
      </c>
      <c r="Q7" s="3"/>
    </row>
    <row r="8" spans="1:11" ht="15.0" customHeight="1" x14ac:dyDescent="0.15">
      <c r="B8" s="6">
        <v>3.0</v>
      </c>
      <c r="C8" s="7" t="s">
        <v>28</v>
      </c>
      <c r="D8" s="6">
        <v>4</v>
      </c>
      <c r="E8" s="6">
        <v>5</v>
      </c>
      <c r="F8" s="6">
        <v>3</v>
      </c>
      <c r="H8" s="4" t="s">
        <f>IF(C8&lt;&gt;"",C8,"")</f>
        <v>28</v>
      </c>
      <c r="I8" s="4">
        <f>IF(D$3=TRUE,IF($C8&lt;&gt;"",D8,""),"")</f>
        <v>4</v>
      </c>
      <c r="J8" s="4">
        <f>IF(E$3=TRUE,IF($C8&lt;&gt;"",E8,""),"")</f>
        <v>5</v>
      </c>
      <c r="K8" s="4">
        <f>IF(F$3=TRUE,IF($C8&lt;&gt;"",F8,""),"")</f>
        <v>3</v>
      </c>
    </row>
    <row r="9" spans="1:16" ht="15.0" customHeight="1" x14ac:dyDescent="0.15">
      <c r="B9" s="6">
        <v>4.0</v>
      </c>
      <c r="C9" s="7" t="s">
        <v>29</v>
      </c>
      <c r="D9" s="6">
        <v>3</v>
      </c>
      <c r="E9" s="6">
        <v>4</v>
      </c>
      <c r="F9" s="6">
        <v>2</v>
      </c>
      <c r="H9" s="4" t="s">
        <f>IF(C9&lt;&gt;"",C9,"")</f>
        <v>29</v>
      </c>
      <c r="I9" s="4">
        <f>IF(D$3=TRUE,IF($C9&lt;&gt;"",D9,""),"")</f>
        <v>3</v>
      </c>
      <c r="J9" s="4">
        <f>IF(E$3=TRUE,IF($C9&lt;&gt;"",E9,""),"")</f>
        <v>4</v>
      </c>
      <c r="K9" s="4">
        <f>IF(F$3=TRUE,IF($C9&lt;&gt;"",F9,""),"")</f>
        <v>2</v>
      </c>
      <c r="P9" s="2" t="s">
        <v>30</v>
      </c>
    </row>
    <row r="10" spans="1:17" ht="15.0" customHeight="1" x14ac:dyDescent="0.15">
      <c r="B10" s="6">
        <v>5.0</v>
      </c>
      <c r="C10" s="7" t="s">
        <v>31</v>
      </c>
      <c r="D10" s="6">
        <v>5</v>
      </c>
      <c r="E10" s="6">
        <v>2</v>
      </c>
      <c r="F10" s="6">
        <v>1</v>
      </c>
      <c r="H10" s="4" t="s">
        <f>IF(C10&lt;&gt;"",C10,"")</f>
        <v>31</v>
      </c>
      <c r="I10" s="4">
        <f>IF(D$3=TRUE,IF($C10&lt;&gt;"",D10,""),"")</f>
        <v>5</v>
      </c>
      <c r="J10" s="4">
        <f>IF(E$3=TRUE,IF($C10&lt;&gt;"",E10,""),"")</f>
        <v>2</v>
      </c>
      <c r="K10" s="4">
        <f>IF(F$3=TRUE,IF($C10&lt;&gt;"",F10,""),"")</f>
        <v>1</v>
      </c>
      <c r="P10" s="2">
        <v>1.0</v>
      </c>
      <c r="Q10" s="3" t="s">
        <v>32</v>
      </c>
    </row>
    <row r="11" spans="2:17" x14ac:dyDescent="0.15">
      <c r="B11" s="6">
        <v>6.0</v>
      </c>
      <c r="C11" s="7" t="s">
        <v>33</v>
      </c>
      <c r="D11" s="6"/>
      <c r="E11" s="6"/>
      <c r="F11" s="6"/>
      <c r="H11" s="4" t="s">
        <f>IF(C11&lt;&gt;"",C11,"")</f>
        <v>33</v>
      </c>
      <c r="I11" s="4">
        <f>IF(D$3=TRUE,IF($C11&lt;&gt;"",D11,""),"")</f>
        <v>0</v>
      </c>
      <c r="J11" s="4">
        <f>IF(E$3=TRUE,IF($C11&lt;&gt;"",E11,""),"")</f>
        <v>0</v>
      </c>
      <c r="K11" s="4">
        <f>IF(F$3=TRUE,IF($C11&lt;&gt;"",F11,""),"")</f>
        <v>0</v>
      </c>
      <c r="P11" s="2">
        <v>2.0</v>
      </c>
      <c r="Q11" s="3" t="s">
        <v>34</v>
      </c>
    </row>
    <row r="12" spans="2:17" x14ac:dyDescent="0.15">
      <c r="B12" s="6">
        <v>7.0</v>
      </c>
      <c r="C12" s="7"/>
      <c r="D12" s="6"/>
      <c r="E12" s="6"/>
      <c r="F12" s="6"/>
      <c r="H12" s="4">
        <f>IF(C12&lt;&gt;"",C12,"")</f>
        <v/>
      </c>
      <c r="I12" s="4">
        <f>IF(D$3=TRUE,IF($C12&lt;&gt;"",D12,""),"")</f>
        <v/>
      </c>
      <c r="J12" s="4">
        <f>IF(E$3=TRUE,IF($C12&lt;&gt;"",E12,""),"")</f>
        <v/>
      </c>
      <c r="K12" s="4">
        <f>IF(F$3=TRUE,IF($C12&lt;&gt;"",F12,""),"")</f>
        <v/>
      </c>
      <c r="P12" s="2">
        <v>3.0</v>
      </c>
      <c r="Q12" s="3" t="s">
        <v>35</v>
      </c>
    </row>
    <row r="13" spans="2:17" x14ac:dyDescent="0.15">
      <c r="B13" s="6">
        <v>8.0</v>
      </c>
      <c r="C13" s="7"/>
      <c r="D13" s="6"/>
      <c r="E13" s="6"/>
      <c r="F13" s="6"/>
      <c r="H13" s="4">
        <f>IF(C13&lt;&gt;"",C13,"")</f>
        <v/>
      </c>
      <c r="I13" s="4">
        <f>IF(D$3=TRUE,IF($C13&lt;&gt;"",D13,""),"")</f>
        <v/>
      </c>
      <c r="J13" s="4">
        <f>IF(E$3=TRUE,IF($C13&lt;&gt;"",E13,""),"")</f>
        <v/>
      </c>
      <c r="K13" s="4">
        <f>IF(F$3=TRUE,IF($C13&lt;&gt;"",F13,""),"")</f>
        <v/>
      </c>
      <c r="P13" s="2">
        <v>4.0</v>
      </c>
      <c r="Q13" s="3" t="s">
        <v>36</v>
      </c>
    </row>
    <row r="14" spans="2:17" x14ac:dyDescent="0.15">
      <c r="B14" s="6">
        <v>9.0</v>
      </c>
      <c r="C14" s="7"/>
      <c r="D14" s="6"/>
      <c r="E14" s="6"/>
      <c r="F14" s="6"/>
      <c r="H14" s="4">
        <f>IF(C14&lt;&gt;"",C14,"")</f>
        <v/>
      </c>
      <c r="I14" s="4">
        <f>IF(D$3=TRUE,IF($C14&lt;&gt;"",D14,""),"")</f>
        <v/>
      </c>
      <c r="J14" s="4">
        <f>IF(E$3=TRUE,IF($C14&lt;&gt;"",E14,""),"")</f>
        <v/>
      </c>
      <c r="K14" s="4">
        <f>IF(F$3=TRUE,IF($C14&lt;&gt;"",F14,""),"")</f>
        <v/>
      </c>
      <c r="P14" s="2">
        <v>5.0</v>
      </c>
      <c r="Q14" s="3" t="s">
        <v>37</v>
      </c>
    </row>
    <row r="15" spans="2:11" x14ac:dyDescent="0.15">
      <c r="B15" s="6">
        <v>10.0</v>
      </c>
      <c r="C15" s="7"/>
      <c r="D15" s="6"/>
      <c r="E15" s="6"/>
      <c r="F15" s="6"/>
      <c r="H15" s="4">
        <f>IF(C15&lt;&gt;"",C15,"")</f>
        <v/>
      </c>
      <c r="I15" s="4">
        <f>IF(D$3=TRUE,IF($C15&lt;&gt;"",D15,""),"")</f>
        <v/>
      </c>
      <c r="J15" s="4">
        <f>IF(E$3=TRUE,IF($C15&lt;&gt;"",E15,""),"")</f>
        <v/>
      </c>
      <c r="K15" s="4">
        <f>IF(F$3=TRUE,IF($C15&lt;&gt;"",F15,""),"")</f>
        <v/>
      </c>
    </row>
    <row r="16" spans="2:11" x14ac:dyDescent="0.15">
      <c r="B16" s="6">
        <v>11.0</v>
      </c>
      <c r="C16" s="7"/>
      <c r="D16" s="6"/>
      <c r="E16" s="6"/>
      <c r="F16" s="6"/>
      <c r="H16" s="4">
        <f>IF(C16&lt;&gt;"",C16,"")</f>
        <v/>
      </c>
      <c r="I16" s="4">
        <f>IF(D$3=TRUE,IF($C16&lt;&gt;"",D16,""),"")</f>
        <v/>
      </c>
      <c r="J16" s="4">
        <f>IF(E$3=TRUE,IF($C16&lt;&gt;"",E16,""),"")</f>
        <v/>
      </c>
      <c r="K16" s="4">
        <f>IF(F$3=TRUE,IF($C16&lt;&gt;"",F16,""),"")</f>
        <v/>
      </c>
    </row>
    <row r="17" spans="2:11" x14ac:dyDescent="0.15">
      <c r="B17" s="6">
        <v>12.0</v>
      </c>
      <c r="C17" s="7"/>
      <c r="D17" s="6"/>
      <c r="E17" s="6"/>
      <c r="F17" s="6"/>
      <c r="H17" s="4">
        <f>IF(C17&lt;&gt;"",C17,"")</f>
        <v/>
      </c>
      <c r="I17" s="4">
        <f>IF(D$3=TRUE,IF($C17&lt;&gt;"",D17,""),"")</f>
        <v/>
      </c>
      <c r="J17" s="4">
        <f>IF(E$3=TRUE,IF($C17&lt;&gt;"",E17,""),"")</f>
        <v/>
      </c>
      <c r="K17" s="4">
        <f>IF(F$3=TRUE,IF($C17&lt;&gt;"",F17,""),"")</f>
        <v/>
      </c>
    </row>
    <row r="18" spans="2:11" x14ac:dyDescent="0.15">
      <c r="B18" s="6">
        <v>13.0</v>
      </c>
      <c r="C18" s="7"/>
      <c r="D18" s="6"/>
      <c r="E18" s="6"/>
      <c r="F18" s="6"/>
      <c r="H18" s="4">
        <f>IF(C18&lt;&gt;"",C18,"")</f>
        <v/>
      </c>
      <c r="I18" s="4">
        <f>IF(D$3=TRUE,IF($C18&lt;&gt;"",D18,""),"")</f>
        <v/>
      </c>
      <c r="J18" s="4">
        <f>IF(E$3=TRUE,IF($C18&lt;&gt;"",E18,""),"")</f>
        <v/>
      </c>
      <c r="K18" s="4">
        <f>IF(F$3=TRUE,IF($C18&lt;&gt;"",F18,""),"")</f>
        <v/>
      </c>
    </row>
    <row r="19" spans="2:11" x14ac:dyDescent="0.15">
      <c r="B19" s="6">
        <v>14.0</v>
      </c>
      <c r="C19" s="7"/>
      <c r="D19" s="6"/>
      <c r="E19" s="6"/>
      <c r="F19" s="6"/>
      <c r="H19" s="4">
        <f>IF(C19&lt;&gt;"",C19,"")</f>
        <v/>
      </c>
      <c r="I19" s="4">
        <f>IF(D$3=TRUE,IF($C19&lt;&gt;"",D19,""),"")</f>
        <v/>
      </c>
      <c r="J19" s="4">
        <f>IF(E$3=TRUE,IF($C19&lt;&gt;"",E19,""),"")</f>
        <v/>
      </c>
      <c r="K19" s="4">
        <f>IF(F$3=TRUE,IF($C19&lt;&gt;"",F19,""),"")</f>
        <v/>
      </c>
    </row>
    <row r="20" spans="2:11" x14ac:dyDescent="0.15">
      <c r="B20" s="6">
        <v>15.0</v>
      </c>
      <c r="C20" s="7"/>
      <c r="D20" s="6"/>
      <c r="E20" s="6"/>
      <c r="F20" s="6"/>
      <c r="H20" s="4">
        <f>IF(C20&lt;&gt;"",C20,"")</f>
        <v/>
      </c>
      <c r="I20" s="4">
        <f>IF(D$3=TRUE,IF($C20&lt;&gt;"",D20,""),"")</f>
        <v/>
      </c>
      <c r="J20" s="4">
        <f>IF(E$3=TRUE,IF($C20&lt;&gt;"",E20,""),"")</f>
        <v/>
      </c>
      <c r="K20" s="4">
        <f>IF(F$3=TRUE,IF($C20&lt;&gt;"",F20,""),"")</f>
        <v/>
      </c>
    </row>
    <row r="22" spans="1:18" ht="15.0" customHeight="1" x14ac:dyDescent="0.15">
      <c r="B22" s="8" t="s">
        <v>14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" ht="15.0" customHeight="1" x14ac:dyDescent="0.15"/>
  </sheetData>
  <mergeCells count="2">
    <mergeCell ref="B4:B5"/>
    <mergeCell ref="C4:C5"/>
  </mergeCells>
  <phoneticPr fontId="0" type="noConversion"/>
  <pageMargins left="0.6999125161508876" right="0.6999125161508876" top="0.7499062639521802" bottom="0.7499062639521802" header="0.2999625102741512" footer="0.2999625102741512"/>
  <pageSetup paperSize="1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  <pageSetUpPr fitToPage="1"/>
  </sheetPr>
  <dimension ref="A1:R38"/>
  <sheetViews>
    <sheetView showGridLines="0" zoomScaleNormal="100" topLeftCell="D7" workbookViewId="0">
      <selection activeCell="P10" activeCellId="0" sqref="P10"/>
    </sheetView>
  </sheetViews>
  <sheetFormatPr defaultRowHeight="14.5" defaultColWidth="12.0" x14ac:dyDescent="0.15"/>
  <cols>
    <col min="1" max="1" width="4.166666666666667" customWidth="1"/>
    <col min="2" max="17" width="12.0"/>
    <col min="18" max="18" width="31.0" customWidth="1"/>
  </cols>
  <sheetData>
    <row r="2" spans="1:18" ht="21.5" customHeight="1" x14ac:dyDescent="0.15">
      <c r="B2" s="12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R2" t="s" s="66">
        <v>1</v>
      </c>
    </row>
    <row r="3" spans="1:18" customHeight="1" x14ac:dyDescent="0.15">
      <c r="R3" t="s" s="66">
        <v>2</v>
      </c>
    </row>
    <row r="4" spans="1:18" customHeight="1" x14ac:dyDescent="0.15">
      <c r="R4" t="s" s="66">
        <v>3</v>
      </c>
    </row>
    <row r="5" spans="1:18" customHeight="1" x14ac:dyDescent="0.15">
      <c r="R5" t="s" s="66">
        <v>4</v>
      </c>
    </row>
    <row r="6" spans="1:18" customHeight="1" x14ac:dyDescent="0.15">
      <c r="R6" t="s" s="66">
        <v>5</v>
      </c>
    </row>
    <row r="7" spans="1:18" customHeight="1" x14ac:dyDescent="0.15">
      <c r="R7" t="s" s="66">
        <v>6</v>
      </c>
    </row>
    <row r="8" spans="1:18" customHeight="1" x14ac:dyDescent="0.15">
      <c r="R8" t="s" s="66">
        <v>7</v>
      </c>
    </row>
    <row r="9" spans="1:18" customHeight="1" x14ac:dyDescent="0.15">
      <c r="R9" t="s" s="66">
        <v>8</v>
      </c>
    </row>
    <row r="10" spans="1:18" customHeight="1" x14ac:dyDescent="0.15">
      <c r="R10" t="s" s="66">
        <v>9</v>
      </c>
    </row>
    <row r="11" spans="1:18" customHeight="1" x14ac:dyDescent="0.15">
      <c r="R11" t="s" s="66">
        <v>10</v>
      </c>
    </row>
    <row r="12" spans="1:18" customHeight="1" x14ac:dyDescent="0.15">
      <c r="R12" t="s" s="66">
        <v>11</v>
      </c>
    </row>
    <row r="13" spans="1:18" customHeight="1" x14ac:dyDescent="0.15">
      <c r="R13" t="s" s="66">
        <v>12</v>
      </c>
    </row>
    <row r="14" spans="1:18" customHeight="1" x14ac:dyDescent="0.15">
      <c r="R14" t="s" s="66">
        <v>13</v>
      </c>
    </row>
    <row r="37" spans="1:15" ht="15.0" customHeight="1" x14ac:dyDescent="0.15">
      <c r="B37" s="8" t="s">
        <v>14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" ht="14.999771" customHeight="1" x14ac:dyDescent="0.15"/>
  </sheetData>
  <phoneticPr fontId="0" type="noConversion"/>
  <pageMargins left="0.6999125161508876" right="0.6999125161508876" top="0.7499062639521802" bottom="0.7499062639521802" header="0.2999625102741512" footer="0.2999625102741512"/>
  <pageSetup paperSize="1" scale="94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  <pageSetUpPr fitToPage="1"/>
  </sheetPr>
  <dimension ref="A1:XFD23"/>
  <sheetViews>
    <sheetView showGridLines="0" zoomScale="32" zoomScaleNormal="32" topLeftCell="C1" workbookViewId="0">
      <selection activeCell="E10" activeCellId="0" sqref="E10"/>
    </sheetView>
  </sheetViews>
  <sheetFormatPr defaultRowHeight="14.5" defaultColWidth="10.5" x14ac:dyDescent="0.15"/>
  <cols>
    <col min="1" max="2" width="4.166666666666667" customWidth="1" style="2"/>
    <col min="3" max="3" width="58.833333333333336" customWidth="1" style="2"/>
    <col min="4" max="6" width="10.333333333333334" customWidth="1" style="2"/>
    <col min="7" max="7" width="10.666666666666666" customWidth="1" style="2"/>
    <col min="8" max="8" width="12.833333333333334" customWidth="1" style="2"/>
    <col min="9" max="11" width="4.166666666666667" customWidth="1" style="2"/>
    <col min="12" max="15" width="10.666666666666666" customWidth="1" style="2"/>
    <col min="16" max="16" width="15.333333333333334" customWidth="1" style="2"/>
    <col min="17" max="17" width="19.166666666666668" customWidth="1" style="2"/>
    <col min="18" max="16384" width="10.666666666666666" customWidth="1" style="2"/>
  </cols>
  <sheetData>
    <row r="2" spans="1:18" ht="19.0" customHeight="1" x14ac:dyDescent="0.15">
      <c r="B2" s="11" t="s">
        <v>38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4:6" x14ac:dyDescent="0.15">
      <c r="D3" s="4" t="b">
        <v>1</v>
      </c>
      <c r="E3" s="4" t="b">
        <v>1</v>
      </c>
      <c r="F3" s="4" t="b">
        <v>1</v>
      </c>
    </row>
    <row r="4" spans="2:16" x14ac:dyDescent="0.15">
      <c r="B4" s="18" t="s">
        <v>16</v>
      </c>
      <c r="C4" s="18" t="s">
        <v>39</v>
      </c>
      <c r="D4" s="6"/>
      <c r="E4" s="6"/>
      <c r="F4" s="6"/>
      <c r="P4" s="5" t="s">
        <v>18</v>
      </c>
    </row>
    <row r="5" spans="2:17" x14ac:dyDescent="0.15">
      <c r="B5" s="18"/>
      <c r="C5" s="18"/>
      <c r="D5" s="6" t="s">
        <v>19</v>
      </c>
      <c r="E5" s="6" t="s">
        <v>20</v>
      </c>
      <c r="F5" s="6" t="s">
        <v>21</v>
      </c>
      <c r="H5" s="4" t="s">
        <v>40</v>
      </c>
      <c r="I5" s="4">
        <f>IF(COUNT(I6:I20)=0,1,COUNT(I6:I20))</f>
        <v>5</v>
      </c>
      <c r="J5" s="4">
        <f>IF(COUNT(J6:J20)=0,1,COUNT(J6:J20))</f>
        <v>5</v>
      </c>
      <c r="K5" s="4">
        <f>IF(COUNT(K6:K20)=0,1,COUNT(K6:K20))</f>
        <v>5</v>
      </c>
      <c r="P5" s="13" t="s">
        <v>23</v>
      </c>
      <c r="Q5" s="3"/>
    </row>
    <row r="6" spans="1:17" ht="15.0" customHeight="1" x14ac:dyDescent="0.15">
      <c r="B6" s="6">
        <v>1.0</v>
      </c>
      <c r="C6" s="7" t="s">
        <v>41</v>
      </c>
      <c r="D6" s="6">
        <v>3</v>
      </c>
      <c r="E6" s="6">
        <v>4</v>
      </c>
      <c r="F6" s="6">
        <v>2</v>
      </c>
      <c r="H6" s="4" t="s">
        <f>IF(C6&lt;&gt;"",C6,"")</f>
        <v>41</v>
      </c>
      <c r="I6" s="4">
        <f>IF(D$3=TRUE,IF($C6&lt;&gt;"",D6,""),NA())</f>
        <v>3</v>
      </c>
      <c r="J6" s="4">
        <f>IF(E$3=TRUE,IF($C6&lt;&gt;"",E6,""),NA())</f>
        <v>4</v>
      </c>
      <c r="K6" s="4">
        <f>IF(F$3=TRUE,IF($C6&lt;&gt;"",F6,""),NA())</f>
        <v>2</v>
      </c>
      <c r="P6" s="13" t="s">
        <v>25</v>
      </c>
      <c r="Q6" s="3"/>
    </row>
    <row r="7" spans="1:17" ht="15.0" customHeight="1" x14ac:dyDescent="0.15">
      <c r="B7" s="6">
        <v>2.0</v>
      </c>
      <c r="C7" s="7" t="s">
        <v>42</v>
      </c>
      <c r="D7" s="6">
        <v>3</v>
      </c>
      <c r="E7" s="6">
        <v>3</v>
      </c>
      <c r="F7" s="6">
        <v>2</v>
      </c>
      <c r="H7" s="4" t="s">
        <f>IF(C7&lt;&gt;"",C7,"")</f>
        <v>42</v>
      </c>
      <c r="I7" s="4">
        <f>IF(D$3=TRUE,IF($C7&lt;&gt;"",D7,""),"")</f>
        <v>3</v>
      </c>
      <c r="J7" s="4">
        <f>IF(E$3=TRUE,IF($C7&lt;&gt;"",E7,""),"")</f>
        <v>3</v>
      </c>
      <c r="K7" s="4">
        <f>IF(F$3=TRUE,IF($C7&lt;&gt;"",F7,""),"")</f>
        <v>2</v>
      </c>
      <c r="P7" s="13" t="s">
        <v>27</v>
      </c>
      <c r="Q7" s="3"/>
    </row>
    <row r="8" spans="1:11" ht="15.0" customHeight="1" x14ac:dyDescent="0.15">
      <c r="B8" s="6">
        <v>3.0</v>
      </c>
      <c r="C8" s="7" t="s">
        <v>43</v>
      </c>
      <c r="D8" s="6">
        <v>5</v>
      </c>
      <c r="E8" s="6">
        <v>3</v>
      </c>
      <c r="F8" s="6">
        <v>3</v>
      </c>
      <c r="H8" s="4" t="s">
        <f>IF(C8&lt;&gt;"",C8,"")</f>
        <v>43</v>
      </c>
      <c r="I8" s="4">
        <f>IF(D$3=TRUE,IF($C8&lt;&gt;"",D8,""),"")</f>
        <v>5</v>
      </c>
      <c r="J8" s="4">
        <f>IF(E$3=TRUE,IF($C8&lt;&gt;"",E8,""),"")</f>
        <v>3</v>
      </c>
      <c r="K8" s="4">
        <f>IF(F$3=TRUE,IF($C8&lt;&gt;"",F8,""),"")</f>
        <v>3</v>
      </c>
    </row>
    <row r="9" spans="1:16" ht="15.0" customHeight="1" x14ac:dyDescent="0.15">
      <c r="B9" s="6">
        <v>4.0</v>
      </c>
      <c r="C9" s="7" t="s">
        <v>44</v>
      </c>
      <c r="D9" s="6">
        <v>3</v>
      </c>
      <c r="E9" s="6">
        <v>5</v>
      </c>
      <c r="F9" s="6">
        <v>2</v>
      </c>
      <c r="H9" s="4" t="s">
        <f>IF(C9&lt;&gt;"",C9,"")</f>
        <v>44</v>
      </c>
      <c r="I9" s="4">
        <f>IF(D$3=TRUE,IF($C9&lt;&gt;"",D9,""),"")</f>
        <v>3</v>
      </c>
      <c r="J9" s="4">
        <f>IF(E$3=TRUE,IF($C9&lt;&gt;"",E9,""),"")</f>
        <v>5</v>
      </c>
      <c r="K9" s="4">
        <f>IF(F$3=TRUE,IF($C9&lt;&gt;"",F9,""),"")</f>
        <v>2</v>
      </c>
      <c r="P9" s="2" t="s">
        <v>30</v>
      </c>
    </row>
    <row r="10" spans="1:17" ht="15.0" customHeight="1" x14ac:dyDescent="0.15">
      <c r="B10" s="6">
        <v>5.0</v>
      </c>
      <c r="C10" s="7" t="s">
        <v>45</v>
      </c>
      <c r="D10" s="6">
        <v>4</v>
      </c>
      <c r="E10" s="6">
        <v>3</v>
      </c>
      <c r="F10" s="6">
        <v>1</v>
      </c>
      <c r="H10" s="4" t="s">
        <f>IF(C10&lt;&gt;"",C10,"")</f>
        <v>45</v>
      </c>
      <c r="I10" s="4">
        <f>IF(D$3=TRUE,IF($C10&lt;&gt;"",D10,""),"")</f>
        <v>4</v>
      </c>
      <c r="J10" s="4">
        <f>IF(E$3=TRUE,IF($C10&lt;&gt;"",E10,""),"")</f>
        <v>3</v>
      </c>
      <c r="K10" s="4">
        <f>IF(F$3=TRUE,IF($C10&lt;&gt;"",F10,""),"")</f>
        <v>1</v>
      </c>
      <c r="P10" s="2">
        <v>1.0</v>
      </c>
      <c r="Q10" s="3" t="s">
        <v>32</v>
      </c>
    </row>
    <row r="11" spans="2:17" x14ac:dyDescent="0.15">
      <c r="B11" s="6">
        <v>6.0</v>
      </c>
      <c r="C11" s="7"/>
      <c r="D11" s="6"/>
      <c r="E11" s="6"/>
      <c r="F11" s="6"/>
      <c r="H11" s="4">
        <f>IF(C11&lt;&gt;"",C11,"")</f>
        <v/>
      </c>
      <c r="I11" s="4">
        <f>IF(D$3=TRUE,IF($C11&lt;&gt;"",D11,""),"")</f>
        <v/>
      </c>
      <c r="J11" s="4">
        <f>IF(E$3=TRUE,IF($C11&lt;&gt;"",E11,""),"")</f>
        <v/>
      </c>
      <c r="K11" s="4">
        <f>IF(F$3=TRUE,IF($C11&lt;&gt;"",F11,""),"")</f>
        <v/>
      </c>
      <c r="P11" s="2">
        <v>2.0</v>
      </c>
      <c r="Q11" s="3" t="s">
        <v>34</v>
      </c>
    </row>
    <row r="12" spans="2:17" x14ac:dyDescent="0.15">
      <c r="B12" s="6">
        <v>7.0</v>
      </c>
      <c r="C12" s="7"/>
      <c r="D12" s="6"/>
      <c r="E12" s="6"/>
      <c r="F12" s="6"/>
      <c r="H12" s="4">
        <f>IF(C12&lt;&gt;"",C12,"")</f>
        <v/>
      </c>
      <c r="I12" s="4">
        <f>IF(D$3=TRUE,IF($C12&lt;&gt;"",D12,""),"")</f>
        <v/>
      </c>
      <c r="J12" s="4">
        <f>IF(E$3=TRUE,IF($C12&lt;&gt;"",E12,""),"")</f>
        <v/>
      </c>
      <c r="K12" s="4">
        <f>IF(F$3=TRUE,IF($C12&lt;&gt;"",F12,""),"")</f>
        <v/>
      </c>
      <c r="P12" s="2">
        <v>3.0</v>
      </c>
      <c r="Q12" s="3" t="s">
        <v>35</v>
      </c>
    </row>
    <row r="13" spans="2:17" x14ac:dyDescent="0.15">
      <c r="B13" s="6">
        <v>8.0</v>
      </c>
      <c r="C13" s="7"/>
      <c r="D13" s="6"/>
      <c r="E13" s="6"/>
      <c r="F13" s="6"/>
      <c r="H13" s="4">
        <f>IF(C13&lt;&gt;"",C13,"")</f>
        <v/>
      </c>
      <c r="I13" s="4">
        <f>IF(D$3=TRUE,IF($C13&lt;&gt;"",D13,""),"")</f>
        <v/>
      </c>
      <c r="J13" s="4">
        <f>IF(E$3=TRUE,IF($C13&lt;&gt;"",E13,""),"")</f>
        <v/>
      </c>
      <c r="K13" s="4">
        <f>IF(F$3=TRUE,IF($C13&lt;&gt;"",F13,""),"")</f>
        <v/>
      </c>
      <c r="P13" s="2">
        <v>4.0</v>
      </c>
      <c r="Q13" s="3" t="s">
        <v>36</v>
      </c>
    </row>
    <row r="14" spans="2:17" x14ac:dyDescent="0.15">
      <c r="B14" s="6">
        <v>9.0</v>
      </c>
      <c r="C14" s="7"/>
      <c r="D14" s="6"/>
      <c r="E14" s="6"/>
      <c r="F14" s="6"/>
      <c r="H14" s="4">
        <f>IF(C14&lt;&gt;"",C14,"")</f>
        <v/>
      </c>
      <c r="I14" s="4">
        <f>IF(D$3=TRUE,IF($C14&lt;&gt;"",D14,""),"")</f>
        <v/>
      </c>
      <c r="J14" s="4">
        <f>IF(E$3=TRUE,IF($C14&lt;&gt;"",E14,""),"")</f>
        <v/>
      </c>
      <c r="K14" s="4">
        <f>IF(F$3=TRUE,IF($C14&lt;&gt;"",F14,""),"")</f>
        <v/>
      </c>
      <c r="P14" s="2">
        <v>5.0</v>
      </c>
      <c r="Q14" s="3" t="s">
        <v>37</v>
      </c>
    </row>
    <row r="15" spans="2:11" x14ac:dyDescent="0.15">
      <c r="B15" s="6">
        <v>10.0</v>
      </c>
      <c r="C15" s="7"/>
      <c r="D15" s="6"/>
      <c r="E15" s="6"/>
      <c r="F15" s="6"/>
      <c r="H15" s="4">
        <f>IF(C15&lt;&gt;"",C15,"")</f>
        <v/>
      </c>
      <c r="I15" s="4">
        <f>IF(D$3=TRUE,IF($C15&lt;&gt;"",D15,""),"")</f>
        <v/>
      </c>
      <c r="J15" s="4">
        <f>IF(E$3=TRUE,IF($C15&lt;&gt;"",E15,""),"")</f>
        <v/>
      </c>
      <c r="K15" s="4">
        <f>IF(F$3=TRUE,IF($C15&lt;&gt;"",F15,""),"")</f>
        <v/>
      </c>
    </row>
    <row r="16" spans="2:11" x14ac:dyDescent="0.15">
      <c r="B16" s="6">
        <v>11.0</v>
      </c>
      <c r="C16" s="7"/>
      <c r="D16" s="6"/>
      <c r="E16" s="6"/>
      <c r="F16" s="6"/>
      <c r="H16" s="4">
        <f>IF(C16&lt;&gt;"",C16,"")</f>
        <v/>
      </c>
      <c r="I16" s="4">
        <f>IF(D$3=TRUE,IF($C16&lt;&gt;"",D16,""),"")</f>
        <v/>
      </c>
      <c r="J16" s="4">
        <f>IF(E$3=TRUE,IF($C16&lt;&gt;"",E16,""),"")</f>
        <v/>
      </c>
      <c r="K16" s="4">
        <f>IF(F$3=TRUE,IF($C16&lt;&gt;"",F16,""),"")</f>
        <v/>
      </c>
    </row>
    <row r="17" spans="2:11" x14ac:dyDescent="0.15">
      <c r="B17" s="6">
        <v>12.0</v>
      </c>
      <c r="C17" s="7"/>
      <c r="D17" s="6"/>
      <c r="E17" s="6"/>
      <c r="F17" s="6"/>
      <c r="H17" s="4">
        <f>IF(C17&lt;&gt;"",C17,"")</f>
        <v/>
      </c>
      <c r="I17" s="4">
        <f>IF(D$3=TRUE,IF($C17&lt;&gt;"",D17,""),"")</f>
        <v/>
      </c>
      <c r="J17" s="4">
        <f>IF(E$3=TRUE,IF($C17&lt;&gt;"",E17,""),"")</f>
        <v/>
      </c>
      <c r="K17" s="4">
        <f>IF(F$3=TRUE,IF($C17&lt;&gt;"",F17,""),"")</f>
        <v/>
      </c>
    </row>
    <row r="18" spans="2:11" x14ac:dyDescent="0.15">
      <c r="B18" s="6">
        <v>13.0</v>
      </c>
      <c r="C18" s="7"/>
      <c r="D18" s="6"/>
      <c r="E18" s="6"/>
      <c r="F18" s="6"/>
      <c r="H18" s="4">
        <f>IF(C18&lt;&gt;"",C18,"")</f>
        <v/>
      </c>
      <c r="I18" s="4">
        <f>IF(D$3=TRUE,IF($C18&lt;&gt;"",D18,""),"")</f>
        <v/>
      </c>
      <c r="J18" s="4">
        <f>IF(E$3=TRUE,IF($C18&lt;&gt;"",E18,""),"")</f>
        <v/>
      </c>
      <c r="K18" s="4">
        <f>IF(F$3=TRUE,IF($C18&lt;&gt;"",F18,""),"")</f>
        <v/>
      </c>
    </row>
    <row r="19" spans="2:11" x14ac:dyDescent="0.15">
      <c r="B19" s="6">
        <v>14.0</v>
      </c>
      <c r="C19" s="7"/>
      <c r="D19" s="6"/>
      <c r="E19" s="6"/>
      <c r="F19" s="6"/>
      <c r="H19" s="4">
        <f>IF(C19&lt;&gt;"",C19,"")</f>
        <v/>
      </c>
      <c r="I19" s="4">
        <f>IF(D$3=TRUE,IF($C19&lt;&gt;"",D19,""),"")</f>
        <v/>
      </c>
      <c r="J19" s="4">
        <f>IF(E$3=TRUE,IF($C19&lt;&gt;"",E19,""),"")</f>
        <v/>
      </c>
      <c r="K19" s="4">
        <f>IF(F$3=TRUE,IF($C19&lt;&gt;"",F19,""),"")</f>
        <v/>
      </c>
    </row>
    <row r="20" spans="2:11" x14ac:dyDescent="0.15">
      <c r="B20" s="6">
        <v>15.0</v>
      </c>
      <c r="C20" s="7"/>
      <c r="D20" s="6"/>
      <c r="E20" s="6"/>
      <c r="F20" s="6"/>
      <c r="H20" s="4">
        <f>IF(C20&lt;&gt;"",C20,"")</f>
        <v/>
      </c>
      <c r="I20" s="4">
        <f>IF(D$3=TRUE,IF($C20&lt;&gt;"",D20,""),"")</f>
        <v/>
      </c>
      <c r="J20" s="4">
        <f>IF(E$3=TRUE,IF($C20&lt;&gt;"",E20,""),"")</f>
        <v/>
      </c>
      <c r="K20" s="4">
        <f>IF(F$3=TRUE,IF($C20&lt;&gt;"",F20,""),"")</f>
        <v/>
      </c>
    </row>
    <row r="22" spans="1:18" ht="15.0" customHeight="1" x14ac:dyDescent="0.15">
      <c r="B22" s="8" t="s">
        <v>14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" ht="15.0" customHeight="1" x14ac:dyDescent="0.15"/>
  </sheetData>
  <mergeCells count="2">
    <mergeCell ref="B4:B5"/>
    <mergeCell ref="C4:C5"/>
  </mergeCells>
  <phoneticPr fontId="0" type="noConversion"/>
  <pageMargins left="0.6999125161508876" right="0.6999125161508876" top="0.7499062639521802" bottom="0.7499062639521802" header="0.2999625102741512" footer="0.2999625102741512"/>
  <pageSetup paperSize="1" scale="7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  <pageSetUpPr fitToPage="1"/>
  </sheetPr>
  <dimension ref="A1:XFD23"/>
  <sheetViews>
    <sheetView showGridLines="0" zoomScale="42" zoomScaleNormal="42" topLeftCell="C1" workbookViewId="0">
      <selection activeCell="E10" activeCellId="0" sqref="E10"/>
    </sheetView>
  </sheetViews>
  <sheetFormatPr defaultRowHeight="14.5" defaultColWidth="10.5" x14ac:dyDescent="0.15"/>
  <cols>
    <col min="1" max="2" width="4.166666666666667" customWidth="1" style="2"/>
    <col min="3" max="3" width="58.833333333333336" customWidth="1" style="2"/>
    <col min="4" max="6" width="10.333333333333334" customWidth="1" style="2"/>
    <col min="7" max="7" width="10.666666666666666" customWidth="1" style="2"/>
    <col min="8" max="8" width="12.833333333333334" customWidth="1" style="2"/>
    <col min="9" max="11" width="4.166666666666667" customWidth="1" style="2"/>
    <col min="12" max="15" width="10.666666666666666" customWidth="1" style="2"/>
    <col min="16" max="16" width="14.166666666666666" customWidth="1" style="2"/>
    <col min="17" max="17" width="19.166666666666668" customWidth="1" style="2"/>
    <col min="18" max="16384" width="10.666666666666666" customWidth="1" style="2"/>
  </cols>
  <sheetData>
    <row r="2" spans="1:18" ht="19.0" customHeight="1" x14ac:dyDescent="0.15">
      <c r="B2" s="11" t="s">
        <v>46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4:6" x14ac:dyDescent="0.15">
      <c r="D3" s="4" t="b">
        <v>1</v>
      </c>
      <c r="E3" s="4" t="b">
        <v>1</v>
      </c>
      <c r="F3" s="4" t="b">
        <v>1</v>
      </c>
    </row>
    <row r="4" spans="2:16" x14ac:dyDescent="0.15">
      <c r="B4" s="18" t="s">
        <v>16</v>
      </c>
      <c r="C4" s="18" t="s">
        <v>47</v>
      </c>
      <c r="D4" s="6"/>
      <c r="E4" s="6"/>
      <c r="F4" s="6"/>
      <c r="P4" s="5" t="s">
        <v>18</v>
      </c>
    </row>
    <row r="5" spans="2:17" x14ac:dyDescent="0.15">
      <c r="B5" s="18"/>
      <c r="C5" s="18"/>
      <c r="D5" s="6" t="s">
        <v>19</v>
      </c>
      <c r="E5" s="6" t="s">
        <v>20</v>
      </c>
      <c r="F5" s="6" t="s">
        <v>21</v>
      </c>
      <c r="H5" s="4" t="s">
        <v>48</v>
      </c>
      <c r="I5" s="4">
        <f>IF(COUNT(I6:I20)=0,1,COUNT(I6:I20))</f>
        <v>5</v>
      </c>
      <c r="J5" s="4">
        <f>IF(COUNT(J6:J20)=0,1,COUNT(J6:J20))</f>
        <v>5</v>
      </c>
      <c r="K5" s="4">
        <f>IF(COUNT(K6:K20)=0,1,COUNT(K6:K20))</f>
        <v>5</v>
      </c>
      <c r="P5" s="13" t="s">
        <v>23</v>
      </c>
      <c r="Q5" s="3"/>
    </row>
    <row r="6" spans="1:17" ht="15.0" customHeight="1" x14ac:dyDescent="0.15">
      <c r="B6" s="6">
        <v>1.0</v>
      </c>
      <c r="C6" s="7" t="s">
        <v>49</v>
      </c>
      <c r="D6" s="6">
        <v>4</v>
      </c>
      <c r="E6" s="6">
        <v>3</v>
      </c>
      <c r="F6" s="6">
        <v>3</v>
      </c>
      <c r="H6" s="4" t="s">
        <f>IF(C6&lt;&gt;"",C6,"")</f>
        <v>49</v>
      </c>
      <c r="I6" s="4">
        <f>IF(D$3=TRUE,IF($C6&lt;&gt;"",D6,""),NA())</f>
        <v>4</v>
      </c>
      <c r="J6" s="4">
        <f>IF(E$3=TRUE,IF($C6&lt;&gt;"",E6,""),NA())</f>
        <v>3</v>
      </c>
      <c r="K6" s="4">
        <f>IF(F$3=TRUE,IF($C6&lt;&gt;"",F6,""),NA())</f>
        <v>3</v>
      </c>
      <c r="P6" s="13" t="s">
        <v>25</v>
      </c>
      <c r="Q6" s="3"/>
    </row>
    <row r="7" spans="1:17" ht="15.0" customHeight="1" x14ac:dyDescent="0.15">
      <c r="B7" s="6">
        <v>2.0</v>
      </c>
      <c r="C7" s="7" t="s">
        <v>50</v>
      </c>
      <c r="D7" s="6">
        <v>5</v>
      </c>
      <c r="E7" s="6">
        <v>4</v>
      </c>
      <c r="F7" s="6">
        <v>2</v>
      </c>
      <c r="H7" s="4" t="s">
        <f>IF(C7&lt;&gt;"",C7,"")</f>
        <v>50</v>
      </c>
      <c r="I7" s="4">
        <f>IF(D$3=TRUE,IF($C7&lt;&gt;"",D7,""),"")</f>
        <v>5</v>
      </c>
      <c r="J7" s="4">
        <f>IF(E$3=TRUE,IF($C7&lt;&gt;"",E7,""),"")</f>
        <v>4</v>
      </c>
      <c r="K7" s="4">
        <f>IF(F$3=TRUE,IF($C7&lt;&gt;"",F7,""),"")</f>
        <v>2</v>
      </c>
      <c r="P7" s="13" t="s">
        <v>27</v>
      </c>
      <c r="Q7" s="3"/>
    </row>
    <row r="8" spans="1:11" ht="15.0" customHeight="1" x14ac:dyDescent="0.15">
      <c r="B8" s="6">
        <v>3.0</v>
      </c>
      <c r="C8" s="7" t="s">
        <v>51</v>
      </c>
      <c r="D8" s="6">
        <v>3</v>
      </c>
      <c r="E8" s="6">
        <v>4</v>
      </c>
      <c r="F8" s="6">
        <v>2</v>
      </c>
      <c r="H8" s="4" t="s">
        <f>IF(C8&lt;&gt;"",C8,"")</f>
        <v>51</v>
      </c>
      <c r="I8" s="4">
        <f>IF(D$3=TRUE,IF($C8&lt;&gt;"",D8,""),"")</f>
        <v>3</v>
      </c>
      <c r="J8" s="4">
        <f>IF(E$3=TRUE,IF($C8&lt;&gt;"",E8,""),"")</f>
        <v>4</v>
      </c>
      <c r="K8" s="4">
        <f>IF(F$3=TRUE,IF($C8&lt;&gt;"",F8,""),"")</f>
        <v>2</v>
      </c>
    </row>
    <row r="9" spans="1:16" ht="15.0" customHeight="1" x14ac:dyDescent="0.15">
      <c r="B9" s="6">
        <v>4.0</v>
      </c>
      <c r="C9" s="7" t="s">
        <v>52</v>
      </c>
      <c r="D9" s="6">
        <v>2</v>
      </c>
      <c r="E9" s="6">
        <v>3</v>
      </c>
      <c r="F9" s="6">
        <v>5</v>
      </c>
      <c r="H9" s="4" t="s">
        <f>IF(C9&lt;&gt;"",C9,"")</f>
        <v>52</v>
      </c>
      <c r="I9" s="4">
        <f>IF(D$3=TRUE,IF($C9&lt;&gt;"",D9,""),"")</f>
        <v>2</v>
      </c>
      <c r="J9" s="4">
        <f>IF(E$3=TRUE,IF($C9&lt;&gt;"",E9,""),"")</f>
        <v>3</v>
      </c>
      <c r="K9" s="4">
        <f>IF(F$3=TRUE,IF($C9&lt;&gt;"",F9,""),"")</f>
        <v>5</v>
      </c>
      <c r="P9" s="2" t="s">
        <v>30</v>
      </c>
    </row>
    <row r="10" spans="1:17" ht="15.0" customHeight="1" x14ac:dyDescent="0.15">
      <c r="B10" s="6">
        <v>5.0</v>
      </c>
      <c r="C10" s="7" t="s">
        <v>53</v>
      </c>
      <c r="D10" s="6">
        <v>2</v>
      </c>
      <c r="E10" s="6">
        <v>2</v>
      </c>
      <c r="F10" s="6">
        <v>3</v>
      </c>
      <c r="H10" s="4" t="s">
        <f>IF(C10&lt;&gt;"",C10,"")</f>
        <v>53</v>
      </c>
      <c r="I10" s="4">
        <f>IF(D$3=TRUE,IF($C10&lt;&gt;"",D10,""),"")</f>
        <v>2</v>
      </c>
      <c r="J10" s="4">
        <f>IF(E$3=TRUE,IF($C10&lt;&gt;"",E10,""),"")</f>
        <v>2</v>
      </c>
      <c r="K10" s="4">
        <f>IF(F$3=TRUE,IF($C10&lt;&gt;"",F10,""),"")</f>
        <v>3</v>
      </c>
      <c r="P10" s="2">
        <v>1.0</v>
      </c>
      <c r="Q10" s="3" t="s">
        <v>32</v>
      </c>
    </row>
    <row r="11" spans="2:17" x14ac:dyDescent="0.15">
      <c r="B11" s="6">
        <v>6.0</v>
      </c>
      <c r="C11" s="7"/>
      <c r="D11" s="6"/>
      <c r="E11" s="6"/>
      <c r="F11" s="6"/>
      <c r="H11" s="4">
        <f>IF(C11&lt;&gt;"",C11,"")</f>
        <v/>
      </c>
      <c r="I11" s="4">
        <f>IF(D$3=TRUE,IF($C11&lt;&gt;"",D11,""),"")</f>
        <v/>
      </c>
      <c r="J11" s="4">
        <f>IF(E$3=TRUE,IF($C11&lt;&gt;"",E11,""),"")</f>
        <v/>
      </c>
      <c r="K11" s="4">
        <f>IF(F$3=TRUE,IF($C11&lt;&gt;"",F11,""),"")</f>
        <v/>
      </c>
      <c r="P11" s="2">
        <v>2.0</v>
      </c>
      <c r="Q11" s="3" t="s">
        <v>34</v>
      </c>
    </row>
    <row r="12" spans="2:17" x14ac:dyDescent="0.15">
      <c r="B12" s="6">
        <v>7.0</v>
      </c>
      <c r="C12" s="14"/>
      <c r="D12" s="6"/>
      <c r="E12" s="6"/>
      <c r="F12" s="6"/>
      <c r="H12" s="4">
        <f>IF(C12&lt;&gt;"",C12,"")</f>
        <v/>
      </c>
      <c r="I12" s="4">
        <f>IF(D$3=TRUE,IF($C12&lt;&gt;"",D12,""),"")</f>
        <v/>
      </c>
      <c r="J12" s="4">
        <f>IF(E$3=TRUE,IF($C12&lt;&gt;"",E12,""),"")</f>
        <v/>
      </c>
      <c r="K12" s="4">
        <f>IF(F$3=TRUE,IF($C12&lt;&gt;"",F12,""),"")</f>
        <v/>
      </c>
      <c r="P12" s="2">
        <v>3.0</v>
      </c>
      <c r="Q12" s="3" t="s">
        <v>35</v>
      </c>
    </row>
    <row r="13" spans="2:17" x14ac:dyDescent="0.15">
      <c r="B13" s="6">
        <v>8.0</v>
      </c>
      <c r="C13" s="7"/>
      <c r="D13" s="6"/>
      <c r="E13" s="6"/>
      <c r="F13" s="6"/>
      <c r="H13" s="4">
        <f>IF(C13&lt;&gt;"",C13,"")</f>
        <v/>
      </c>
      <c r="I13" s="4">
        <f>IF(D$3=TRUE,IF($C13&lt;&gt;"",D13,""),"")</f>
        <v/>
      </c>
      <c r="J13" s="4">
        <f>IF(E$3=TRUE,IF($C13&lt;&gt;"",E13,""),"")</f>
        <v/>
      </c>
      <c r="K13" s="4">
        <f>IF(F$3=TRUE,IF($C13&lt;&gt;"",F13,""),"")</f>
        <v/>
      </c>
      <c r="P13" s="2">
        <v>4.0</v>
      </c>
      <c r="Q13" s="3" t="s">
        <v>36</v>
      </c>
    </row>
    <row r="14" spans="2:17" x14ac:dyDescent="0.15">
      <c r="B14" s="6">
        <v>9.0</v>
      </c>
      <c r="C14" s="7"/>
      <c r="D14" s="6"/>
      <c r="E14" s="6"/>
      <c r="F14" s="6"/>
      <c r="H14" s="4">
        <f>IF(C14&lt;&gt;"",C14,"")</f>
        <v/>
      </c>
      <c r="I14" s="4">
        <f>IF(D$3=TRUE,IF($C14&lt;&gt;"",D14,""),"")</f>
        <v/>
      </c>
      <c r="J14" s="4">
        <f>IF(E$3=TRUE,IF($C14&lt;&gt;"",E14,""),"")</f>
        <v/>
      </c>
      <c r="K14" s="4">
        <f>IF(F$3=TRUE,IF($C14&lt;&gt;"",F14,""),"")</f>
        <v/>
      </c>
      <c r="P14" s="2">
        <v>5.0</v>
      </c>
      <c r="Q14" s="3" t="s">
        <v>37</v>
      </c>
    </row>
    <row r="15" spans="2:11" x14ac:dyDescent="0.15">
      <c r="B15" s="6">
        <v>10.0</v>
      </c>
      <c r="C15" s="7"/>
      <c r="D15" s="6"/>
      <c r="E15" s="6"/>
      <c r="F15" s="6"/>
      <c r="H15" s="4">
        <f>IF(C15&lt;&gt;"",C15,"")</f>
        <v/>
      </c>
      <c r="I15" s="4">
        <f>IF(D$3=TRUE,IF($C15&lt;&gt;"",D15,""),"")</f>
        <v/>
      </c>
      <c r="J15" s="4">
        <f>IF(E$3=TRUE,IF($C15&lt;&gt;"",E15,""),"")</f>
        <v/>
      </c>
      <c r="K15" s="4">
        <f>IF(F$3=TRUE,IF($C15&lt;&gt;"",F15,""),"")</f>
        <v/>
      </c>
    </row>
    <row r="16" spans="2:11" x14ac:dyDescent="0.15">
      <c r="B16" s="6">
        <v>11.0</v>
      </c>
      <c r="C16" s="7"/>
      <c r="D16" s="6"/>
      <c r="E16" s="6"/>
      <c r="F16" s="6"/>
      <c r="H16" s="4">
        <f>IF(C16&lt;&gt;"",C16,"")</f>
        <v/>
      </c>
      <c r="I16" s="4">
        <f>IF(D$3=TRUE,IF($C16&lt;&gt;"",D16,""),"")</f>
        <v/>
      </c>
      <c r="J16" s="4">
        <f>IF(E$3=TRUE,IF($C16&lt;&gt;"",E16,""),"")</f>
        <v/>
      </c>
      <c r="K16" s="4">
        <f>IF(F$3=TRUE,IF($C16&lt;&gt;"",F16,""),"")</f>
        <v/>
      </c>
    </row>
    <row r="17" spans="2:11" x14ac:dyDescent="0.15">
      <c r="B17" s="6">
        <v>12.0</v>
      </c>
      <c r="C17" s="7"/>
      <c r="D17" s="6"/>
      <c r="E17" s="6"/>
      <c r="F17" s="6"/>
      <c r="H17" s="4">
        <f>IF(C17&lt;&gt;"",C17,"")</f>
        <v/>
      </c>
      <c r="I17" s="4">
        <f>IF(D$3=TRUE,IF($C17&lt;&gt;"",D17,""),"")</f>
        <v/>
      </c>
      <c r="J17" s="4">
        <f>IF(E$3=TRUE,IF($C17&lt;&gt;"",E17,""),"")</f>
        <v/>
      </c>
      <c r="K17" s="4">
        <f>IF(F$3=TRUE,IF($C17&lt;&gt;"",F17,""),"")</f>
        <v/>
      </c>
    </row>
    <row r="18" spans="2:11" x14ac:dyDescent="0.15">
      <c r="B18" s="6">
        <v>13.0</v>
      </c>
      <c r="C18" s="7"/>
      <c r="D18" s="6"/>
      <c r="E18" s="6"/>
      <c r="F18" s="6"/>
      <c r="H18" s="4">
        <f>IF(C18&lt;&gt;"",C18,"")</f>
        <v/>
      </c>
      <c r="I18" s="4">
        <f>IF(D$3=TRUE,IF($C18&lt;&gt;"",D18,""),"")</f>
        <v/>
      </c>
      <c r="J18" s="4">
        <f>IF(E$3=TRUE,IF($C18&lt;&gt;"",E18,""),"")</f>
        <v/>
      </c>
      <c r="K18" s="4">
        <f>IF(F$3=TRUE,IF($C18&lt;&gt;"",F18,""),"")</f>
        <v/>
      </c>
    </row>
    <row r="19" spans="2:11" x14ac:dyDescent="0.15">
      <c r="B19" s="6">
        <v>14.0</v>
      </c>
      <c r="C19" s="7"/>
      <c r="D19" s="6"/>
      <c r="E19" s="6"/>
      <c r="F19" s="6"/>
      <c r="H19" s="4">
        <f>IF(C19&lt;&gt;"",C19,"")</f>
        <v/>
      </c>
      <c r="I19" s="4">
        <f>IF(D$3=TRUE,IF($C19&lt;&gt;"",D19,""),"")</f>
        <v/>
      </c>
      <c r="J19" s="4">
        <f>IF(E$3=TRUE,IF($C19&lt;&gt;"",E19,""),"")</f>
        <v/>
      </c>
      <c r="K19" s="4">
        <f>IF(F$3=TRUE,IF($C19&lt;&gt;"",F19,""),"")</f>
        <v/>
      </c>
    </row>
    <row r="20" spans="2:11" x14ac:dyDescent="0.15">
      <c r="B20" s="6">
        <v>15.0</v>
      </c>
      <c r="C20" s="7"/>
      <c r="D20" s="6"/>
      <c r="E20" s="6"/>
      <c r="F20" s="6"/>
      <c r="H20" s="4">
        <f>IF(C20&lt;&gt;"",C20,"")</f>
        <v/>
      </c>
      <c r="I20" s="4">
        <f>IF(D$3=TRUE,IF($C20&lt;&gt;"",D20,""),"")</f>
        <v/>
      </c>
      <c r="J20" s="4">
        <f>IF(E$3=TRUE,IF($C20&lt;&gt;"",E20,""),"")</f>
        <v/>
      </c>
      <c r="K20" s="4">
        <f>IF(F$3=TRUE,IF($C20&lt;&gt;"",F20,""),"")</f>
        <v/>
      </c>
    </row>
    <row r="22" spans="1:18" ht="15.0" customHeight="1" x14ac:dyDescent="0.15">
      <c r="B22" s="8" t="s">
        <v>14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" ht="15.0" customHeight="1" x14ac:dyDescent="0.15"/>
  </sheetData>
  <mergeCells count="2">
    <mergeCell ref="B4:B5"/>
    <mergeCell ref="C4:C5"/>
  </mergeCells>
  <phoneticPr fontId="0" type="noConversion"/>
  <pageMargins left="0.6999125161508876" right="0.6999125161508876" top="0.7499062639521802" bottom="0.7499062639521802" header="0.2999625102741512" footer="0.2999625102741512"/>
  <pageSetup paperSize="1" scale="7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  <pageSetUpPr fitToPage="1"/>
  </sheetPr>
  <dimension ref="A1:XFD23"/>
  <sheetViews>
    <sheetView showGridLines="0" tabSelected="1" zoomScale="30" zoomScaleNormal="30" topLeftCell="C1" workbookViewId="0">
      <selection activeCell="F10" activeCellId="0" sqref="F10"/>
    </sheetView>
  </sheetViews>
  <sheetFormatPr defaultRowHeight="14.5" defaultColWidth="10.5" x14ac:dyDescent="0.15"/>
  <cols>
    <col min="1" max="2" width="4.166666666666667" customWidth="1" style="2"/>
    <col min="3" max="3" width="58.833333333333336" customWidth="1" style="2"/>
    <col min="4" max="6" width="10.333333333333334" customWidth="1" style="2"/>
    <col min="7" max="7" width="10.666666666666666" customWidth="1" style="2"/>
    <col min="8" max="8" width="12.833333333333334" customWidth="1" style="2"/>
    <col min="9" max="11" width="4.166666666666667" customWidth="1" style="2"/>
    <col min="12" max="15" width="10.666666666666666" customWidth="1" style="2"/>
    <col min="16" max="16" width="16.5" customWidth="1" style="2"/>
    <col min="17" max="17" width="19.166666666666668" customWidth="1" style="2"/>
    <col min="18" max="16384" width="10.666666666666666" customWidth="1" style="2"/>
  </cols>
  <sheetData>
    <row r="2" spans="1:18" ht="18.749714" customHeight="1" x14ac:dyDescent="0.15">
      <c r="B2" s="11" t="s">
        <v>54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6" customHeight="1" x14ac:dyDescent="0.15">
      <c r="D3" s="4" t="b">
        <v>1</v>
      </c>
      <c r="E3" s="4" t="b">
        <v>1</v>
      </c>
      <c r="F3" s="4" t="b">
        <v>1</v>
      </c>
    </row>
    <row r="4" spans="1:16" customHeight="1" x14ac:dyDescent="0.15">
      <c r="B4" s="18" t="s">
        <v>16</v>
      </c>
      <c r="C4" s="18" t="s">
        <v>55</v>
      </c>
      <c r="D4" s="6"/>
      <c r="E4" s="6"/>
      <c r="F4" s="6"/>
      <c r="P4" s="5" t="s">
        <v>18</v>
      </c>
    </row>
    <row r="5" spans="1:17" customHeight="1" x14ac:dyDescent="0.15">
      <c r="B5" s="18"/>
      <c r="C5" s="18"/>
      <c r="D5" s="6" t="s">
        <v>19</v>
      </c>
      <c r="E5" s="6" t="s">
        <v>20</v>
      </c>
      <c r="F5" s="6" t="s">
        <v>21</v>
      </c>
      <c r="H5" s="4" t="s">
        <v>56</v>
      </c>
      <c r="I5" s="4">
        <f>IF(COUNT(I6:I20)=0,1,COUNT(I6:I20))</f>
        <v>5</v>
      </c>
      <c r="J5" s="4">
        <f>IF(COUNT(J6:J20)=0,1,COUNT(J6:J20))</f>
        <v>5</v>
      </c>
      <c r="K5" s="4">
        <f>IF(COUNT(K6:K20)=0,1,COUNT(K6:K20))</f>
        <v>5</v>
      </c>
      <c r="P5" s="13" t="s">
        <v>23</v>
      </c>
      <c r="Q5" s="3"/>
    </row>
    <row r="6" spans="1:17" customHeight="1" x14ac:dyDescent="0.15">
      <c r="B6" s="6">
        <v>1.0</v>
      </c>
      <c r="C6" s="7" t="s">
        <v>57</v>
      </c>
      <c r="D6" s="6">
        <v>3</v>
      </c>
      <c r="E6" s="6">
        <v>3</v>
      </c>
      <c r="F6" s="6">
        <v>2</v>
      </c>
      <c r="H6" s="4" t="s">
        <f>IF(C6&lt;&gt;"",C6,"")</f>
        <v>57</v>
      </c>
      <c r="I6" s="4">
        <f>IF(D$3=TRUE,IF($C6&lt;&gt;"",D6,""),NA())</f>
        <v>3</v>
      </c>
      <c r="J6" s="4">
        <f>IF(E$3=TRUE,IF($C6&lt;&gt;"",E6,""),NA())</f>
        <v>3</v>
      </c>
      <c r="K6" s="4">
        <f>IF(F$3=TRUE,IF($C6&lt;&gt;"",F6,""),NA())</f>
        <v>2</v>
      </c>
      <c r="P6" s="13" t="s">
        <v>25</v>
      </c>
      <c r="Q6" s="3"/>
    </row>
    <row r="7" spans="1:17" customHeight="1" x14ac:dyDescent="0.15">
      <c r="B7" s="6">
        <v>2.0</v>
      </c>
      <c r="C7" s="7" t="s">
        <v>58</v>
      </c>
      <c r="D7" s="6">
        <v>4</v>
      </c>
      <c r="E7" s="6">
        <v>3</v>
      </c>
      <c r="F7" s="6">
        <v>2</v>
      </c>
      <c r="H7" s="4" t="s">
        <f>IF(C7&lt;&gt;"",C7,"")</f>
        <v>58</v>
      </c>
      <c r="I7" s="4">
        <f>IF(D$3=TRUE,IF($C7&lt;&gt;"",D7,""),"")</f>
        <v>4</v>
      </c>
      <c r="J7" s="4">
        <f>IF(E$3=TRUE,IF($C7&lt;&gt;"",E7,""),"")</f>
        <v>3</v>
      </c>
      <c r="K7" s="4">
        <f>IF(F$3=TRUE,IF($C7&lt;&gt;"",F7,""),"")</f>
        <v>2</v>
      </c>
      <c r="P7" s="13" t="s">
        <v>27</v>
      </c>
      <c r="Q7" s="3"/>
    </row>
    <row r="8" spans="1:11" customHeight="1" x14ac:dyDescent="0.15">
      <c r="B8" s="6">
        <v>3.0</v>
      </c>
      <c r="C8" s="7" t="s">
        <v>59</v>
      </c>
      <c r="D8" s="6">
        <v>4</v>
      </c>
      <c r="E8" s="6">
        <v>4</v>
      </c>
      <c r="F8" s="6">
        <v>1</v>
      </c>
      <c r="H8" s="4" t="s">
        <f>IF(C8&lt;&gt;"",C8,"")</f>
        <v>59</v>
      </c>
      <c r="I8" s="4">
        <f>IF(D$3=TRUE,IF($C8&lt;&gt;"",D8,""),"")</f>
        <v>4</v>
      </c>
      <c r="J8" s="4">
        <f>IF(E$3=TRUE,IF($C8&lt;&gt;"",E8,""),"")</f>
        <v>4</v>
      </c>
      <c r="K8" s="4">
        <f>IF(F$3=TRUE,IF($C8&lt;&gt;"",F8,""),"")</f>
        <v>1</v>
      </c>
    </row>
    <row r="9" spans="1:16" customHeight="1" x14ac:dyDescent="0.15">
      <c r="B9" s="6">
        <v>4.0</v>
      </c>
      <c r="C9" s="7" t="s">
        <v>60</v>
      </c>
      <c r="D9" s="6">
        <v>2</v>
      </c>
      <c r="E9" s="6">
        <v>3</v>
      </c>
      <c r="F9" s="6">
        <v>3</v>
      </c>
      <c r="H9" s="4" t="s">
        <f>IF(C9&lt;&gt;"",C9,"")</f>
        <v>60</v>
      </c>
      <c r="I9" s="4">
        <f>IF(D$3=TRUE,IF($C9&lt;&gt;"",D9,""),"")</f>
        <v>2</v>
      </c>
      <c r="J9" s="4">
        <f>IF(E$3=TRUE,IF($C9&lt;&gt;"",E9,""),"")</f>
        <v>3</v>
      </c>
      <c r="K9" s="4">
        <f>IF(F$3=TRUE,IF($C9&lt;&gt;"",F9,""),"")</f>
        <v>3</v>
      </c>
      <c r="P9" s="2" t="s">
        <v>30</v>
      </c>
    </row>
    <row r="10" spans="1:17" customHeight="1" x14ac:dyDescent="0.15">
      <c r="B10" s="6">
        <v>5.0</v>
      </c>
      <c r="C10" s="7" t="s">
        <v>61</v>
      </c>
      <c r="D10" s="6">
        <v>5</v>
      </c>
      <c r="E10" s="6">
        <v>4</v>
      </c>
      <c r="F10" s="6">
        <v>2</v>
      </c>
      <c r="H10" s="4" t="s">
        <f>IF(C10&lt;&gt;"",C10,"")</f>
        <v>61</v>
      </c>
      <c r="I10" s="4">
        <f>IF(D$3=TRUE,IF($C10&lt;&gt;"",D10,""),"")</f>
        <v>5</v>
      </c>
      <c r="J10" s="4">
        <f>IF(E$3=TRUE,IF($C10&lt;&gt;"",E10,""),"")</f>
        <v>4</v>
      </c>
      <c r="K10" s="4">
        <f>IF(F$3=TRUE,IF($C10&lt;&gt;"",F10,""),"")</f>
        <v>2</v>
      </c>
      <c r="P10" s="2">
        <v>1.0</v>
      </c>
      <c r="Q10" s="3" t="s">
        <v>32</v>
      </c>
    </row>
    <row r="11" spans="1:17" customHeight="1" x14ac:dyDescent="0.15">
      <c r="B11" s="6"/>
      <c r="C11" s="7"/>
      <c r="D11" s="6"/>
      <c r="E11" s="6"/>
      <c r="F11" s="6"/>
      <c r="H11" s="4">
        <f>IF(C11&lt;&gt;"",C11,"")</f>
        <v/>
      </c>
      <c r="I11" s="4">
        <f>IF(D$3=TRUE,IF($C11&lt;&gt;"",D11,""),"")</f>
        <v/>
      </c>
      <c r="J11" s="4">
        <f>IF(E$3=TRUE,IF($C11&lt;&gt;"",E11,""),"")</f>
        <v/>
      </c>
      <c r="K11" s="4">
        <f>IF(F$3=TRUE,IF($C11&lt;&gt;"",F11,""),"")</f>
        <v/>
      </c>
      <c r="P11" s="2">
        <v>2.0</v>
      </c>
      <c r="Q11" s="3" t="s">
        <v>34</v>
      </c>
    </row>
    <row r="12" spans="1:17" customHeight="1" x14ac:dyDescent="0.15">
      <c r="B12" s="6"/>
      <c r="C12" s="7"/>
      <c r="D12" s="6"/>
      <c r="E12" s="6"/>
      <c r="F12" s="6"/>
      <c r="H12" s="4">
        <f>IF(C12&lt;&gt;"",C12,"")</f>
        <v/>
      </c>
      <c r="I12" s="4">
        <f>IF(D$3=TRUE,IF($C12&lt;&gt;"",D12,""),"")</f>
        <v/>
      </c>
      <c r="J12" s="4">
        <f>IF(E$3=TRUE,IF($C12&lt;&gt;"",E12,""),"")</f>
        <v/>
      </c>
      <c r="K12" s="4">
        <f>IF(F$3=TRUE,IF($C12&lt;&gt;"",F12,""),"")</f>
        <v/>
      </c>
      <c r="P12" s="2">
        <v>3.0</v>
      </c>
      <c r="Q12" s="3" t="s">
        <v>35</v>
      </c>
    </row>
    <row r="13" spans="1:17" customHeight="1" x14ac:dyDescent="0.15">
      <c r="B13" s="6"/>
      <c r="C13" s="7"/>
      <c r="D13" s="6"/>
      <c r="E13" s="6"/>
      <c r="F13" s="6"/>
      <c r="H13" s="4">
        <f>IF(C13&lt;&gt;"",C13,"")</f>
        <v/>
      </c>
      <c r="I13" s="4">
        <f>IF(D$3=TRUE,IF($C13&lt;&gt;"",D13,""),"")</f>
        <v/>
      </c>
      <c r="J13" s="4">
        <f>IF(E$3=TRUE,IF($C13&lt;&gt;"",E13,""),"")</f>
        <v/>
      </c>
      <c r="K13" s="4">
        <f>IF(F$3=TRUE,IF($C13&lt;&gt;"",F13,""),"")</f>
        <v/>
      </c>
      <c r="P13" s="2">
        <v>4.0</v>
      </c>
      <c r="Q13" s="3" t="s">
        <v>36</v>
      </c>
    </row>
    <row r="14" spans="1:17" customHeight="1" x14ac:dyDescent="0.15">
      <c r="B14" s="6"/>
      <c r="C14" s="7"/>
      <c r="D14" s="6"/>
      <c r="E14" s="6"/>
      <c r="F14" s="6"/>
      <c r="H14" s="4">
        <f>IF(C14&lt;&gt;"",C14,"")</f>
        <v/>
      </c>
      <c r="I14" s="4">
        <f>IF(D$3=TRUE,IF($C14&lt;&gt;"",D14,""),"")</f>
        <v/>
      </c>
      <c r="J14" s="4">
        <f>IF(E$3=TRUE,IF($C14&lt;&gt;"",E14,""),"")</f>
        <v/>
      </c>
      <c r="K14" s="4">
        <f>IF(F$3=TRUE,IF($C14&lt;&gt;"",F14,""),"")</f>
        <v/>
      </c>
      <c r="P14" s="2">
        <v>5.0</v>
      </c>
      <c r="Q14" s="3" t="s">
        <v>37</v>
      </c>
    </row>
    <row r="15" spans="1:11" customHeight="1" x14ac:dyDescent="0.15">
      <c r="B15" s="6"/>
      <c r="C15" s="7"/>
      <c r="D15" s="6"/>
      <c r="E15" s="6"/>
      <c r="F15" s="6"/>
      <c r="H15" s="4">
        <f>IF(C15&lt;&gt;"",C15,"")</f>
        <v/>
      </c>
      <c r="I15" s="4">
        <f>IF(D$3=TRUE,IF($C15&lt;&gt;"",D15,""),"")</f>
        <v/>
      </c>
      <c r="J15" s="4">
        <f>IF(E$3=TRUE,IF($C15&lt;&gt;"",E15,""),"")</f>
        <v/>
      </c>
      <c r="K15" s="4">
        <f>IF(F$3=TRUE,IF($C15&lt;&gt;"",F15,""),"")</f>
        <v/>
      </c>
    </row>
    <row r="16" spans="1:11" customHeight="1" x14ac:dyDescent="0.15">
      <c r="B16" s="6"/>
      <c r="C16" s="7"/>
      <c r="D16" s="6"/>
      <c r="E16" s="6"/>
      <c r="F16" s="6"/>
      <c r="H16" s="4">
        <f>IF(C16&lt;&gt;"",C16,"")</f>
        <v/>
      </c>
      <c r="I16" s="4">
        <f>IF(D$3=TRUE,IF($C16&lt;&gt;"",D16,""),"")</f>
        <v/>
      </c>
      <c r="J16" s="4">
        <f>IF(E$3=TRUE,IF($C16&lt;&gt;"",E16,""),"")</f>
        <v/>
      </c>
      <c r="K16" s="4">
        <f>IF(F$3=TRUE,IF($C16&lt;&gt;"",F16,""),"")</f>
        <v/>
      </c>
    </row>
    <row r="17" spans="1:11" customHeight="1" x14ac:dyDescent="0.15">
      <c r="B17" s="6"/>
      <c r="C17" s="7"/>
      <c r="D17" s="6"/>
      <c r="E17" s="6"/>
      <c r="F17" s="6"/>
      <c r="H17" s="4">
        <f>IF(C17&lt;&gt;"",C17,"")</f>
        <v/>
      </c>
      <c r="I17" s="4">
        <f>IF(D$3=TRUE,IF($C17&lt;&gt;"",D17,""),"")</f>
        <v/>
      </c>
      <c r="J17" s="4">
        <f>IF(E$3=TRUE,IF($C17&lt;&gt;"",E17,""),"")</f>
        <v/>
      </c>
      <c r="K17" s="4">
        <f>IF(F$3=TRUE,IF($C17&lt;&gt;"",F17,""),"")</f>
        <v/>
      </c>
    </row>
    <row r="18" spans="1:11" customHeight="1" x14ac:dyDescent="0.15">
      <c r="B18" s="6"/>
      <c r="C18" s="7"/>
      <c r="D18" s="6"/>
      <c r="E18" s="6"/>
      <c r="F18" s="6"/>
      <c r="H18" s="4">
        <f>IF(C18&lt;&gt;"",C18,"")</f>
        <v/>
      </c>
      <c r="I18" s="4">
        <f>IF(D$3=TRUE,IF($C18&lt;&gt;"",D18,""),"")</f>
        <v/>
      </c>
      <c r="J18" s="4">
        <f>IF(E$3=TRUE,IF($C18&lt;&gt;"",E18,""),"")</f>
        <v/>
      </c>
      <c r="K18" s="4">
        <f>IF(F$3=TRUE,IF($C18&lt;&gt;"",F18,""),"")</f>
        <v/>
      </c>
    </row>
    <row r="19" spans="1:11" customHeight="1" x14ac:dyDescent="0.15">
      <c r="B19" s="6"/>
      <c r="C19" s="7"/>
      <c r="D19" s="6"/>
      <c r="E19" s="6"/>
      <c r="F19" s="6"/>
      <c r="H19" s="4">
        <f>IF(C19&lt;&gt;"",C19,"")</f>
        <v/>
      </c>
      <c r="I19" s="4">
        <f>IF(D$3=TRUE,IF($C19&lt;&gt;"",D19,""),"")</f>
        <v/>
      </c>
      <c r="J19" s="4">
        <f>IF(E$3=TRUE,IF($C19&lt;&gt;"",E19,""),"")</f>
        <v/>
      </c>
      <c r="K19" s="4">
        <f>IF(F$3=TRUE,IF($C19&lt;&gt;"",F19,""),"")</f>
        <v/>
      </c>
    </row>
    <row r="20" spans="1:11" customHeight="1" x14ac:dyDescent="0.15">
      <c r="B20" s="6"/>
      <c r="C20" s="7"/>
      <c r="D20" s="6"/>
      <c r="E20" s="6"/>
      <c r="F20" s="6"/>
      <c r="H20" s="4">
        <f>IF(C20&lt;&gt;"",C20,"")</f>
        <v/>
      </c>
      <c r="I20" s="4">
        <f>IF(D$3=TRUE,IF($C20&lt;&gt;"",D20,""),"")</f>
        <v/>
      </c>
      <c r="J20" s="4">
        <f>IF(E$3=TRUE,IF($C20&lt;&gt;"",E20,""),"")</f>
        <v/>
      </c>
      <c r="K20" s="4">
        <f>IF(F$3=TRUE,IF($C20&lt;&gt;"",F20,""),"")</f>
        <v/>
      </c>
    </row>
    <row r="22" spans="1:18" ht="15.0" customHeight="1" x14ac:dyDescent="0.15">
      <c r="B22" s="8" t="s">
        <v>14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" ht="15.0" customHeight="1" x14ac:dyDescent="0.15"/>
  </sheetData>
  <mergeCells count="2">
    <mergeCell ref="B4:B5"/>
    <mergeCell ref="C4:C5"/>
  </mergeCells>
  <phoneticPr fontId="0" type="noConversion"/>
  <pageMargins left="0.6999125161508876" right="0.6999125161508876" top="0.7499062639521802" bottom="0.7499062639521802" header="0.2999625102741512" footer="0.2999625102741512"/>
  <pageSetup paperSize="1" scale="70" orientation="landscape"/>
  <drawing r:id="rId1"/>
</worksheet>
</file>

<file path=docProps/app.xml><?xml version="1.0" encoding="utf-8"?>
<Properties xmlns="http://schemas.openxmlformats.org/officeDocument/2006/extended-properties">
  <Template>Normal.eit</Template>
  <TotalTime>23</TotalTime>
  <Application>Yozo_Office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SWOT Analysis Template</dc:title>
  <dc:creator>R. Musadya</dc:creator>
  <cp:lastModifiedBy>root</cp:lastModifiedBy>
  <cp:revision>0</cp:revision>
  <cp:lastPrinted>2021-04-21T13:02:31Z</cp:lastPrinted>
  <dcterms:created xsi:type="dcterms:W3CDTF">2013-02-05T01:42:25Z</dcterms:created>
  <dcterms:modified xsi:type="dcterms:W3CDTF">2024-12-03T04:37:07Z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0x010100D2296EAA217E0345940B26202C812868</vt:lpwstr>
  </property>
</Properties>
</file>